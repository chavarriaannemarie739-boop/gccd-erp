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800" windowHeight="12375" activeTab="5"/>
  </x:bookViews>
  <x:sheets>
    <x:sheet name="溯源" sheetId="1" r:id="rId1"/>
    <x:sheet name="凯亚" sheetId="2" r:id="rId2"/>
    <x:sheet name="导轨钢" sheetId="6" r:id="rId3"/>
    <x:sheet name="易合" sheetId="3" r:id="rId4"/>
    <x:sheet name="高齿" sheetId="4" r:id="rId5"/>
    <x:sheet name="马强济" sheetId="5" r:id="rId6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<x:sst xmlns:x="http://schemas.openxmlformats.org/spreadsheetml/2006/main" count="412" uniqueCount="141">
  <x:si>
    <x:t xml:space="preserve">2026年5月11日溯源钢管库存明细 </x:t>
  </x:si>
  <x:si>
    <x:t>岗位</x:t>
  </x:si>
  <x:si>
    <x:t>品种</x:t>
  </x:si>
  <x:si>
    <x:t>型号</x:t>
  </x:si>
  <x:si>
    <x:t>上月库存</x:t>
  </x:si>
  <x:si>
    <x:t>今日产量</x:t>
  </x:si>
  <x:si>
    <x:t>下工序产量</x:t>
  </x:si>
  <x:si>
    <x:t>吨位</x:t>
  </x:si>
  <x:si>
    <x:t>合计吨位</x:t>
  </x:si>
  <x:si>
    <x:t>圆钢</x:t>
  </x:si>
  <x:si>
    <x:t>55宣钢</x:t>
  </x:si>
  <x:si>
    <x:t>70宣钢</x:t>
  </x:si>
  <x:si>
    <x:t>55潍钢</x:t>
  </x:si>
  <x:si>
    <x:t>50富伦</x:t>
  </x:si>
  <x:si>
    <x:t>50巨能</x:t>
  </x:si>
  <x:si>
    <x:t>55巨能</x:t>
  </x:si>
  <x:si>
    <x:t>50邯钢</x:t>
  </x:si>
  <x:si>
    <x:t>55邯钢</x:t>
  </x:si>
  <x:si>
    <x:t>60邯钢</x:t>
  </x:si>
  <x:si>
    <x:t>70邯钢</x:t>
  </x:si>
  <x:si>
    <x:t>50澳森</x:t>
  </x:si>
  <x:si>
    <x:t>52澳森</x:t>
  </x:si>
  <x:si>
    <x:t>55澳森</x:t>
  </x:si>
  <x:si>
    <x:t>70澳森</x:t>
  </x:si>
  <x:si>
    <x:t>断钢
待穿孔</x:t>
  </x:si>
  <x:si>
    <x:t>50宣钢</x:t>
  </x:si>
  <x:si>
    <x:t>50*1.2</x:t>
  </x:si>
  <x:si>
    <x:t>55*1.2</x:t>
  </x:si>
  <x:si>
    <x:t>60宣钢</x:t>
  </x:si>
  <x:si>
    <x:t>60*1.2</x:t>
  </x:si>
  <x:si>
    <x:t>70*1.2</x:t>
  </x:si>
  <x:si>
    <x:t>80巨能</x:t>
  </x:si>
  <x:si>
    <x:t>80*1.244</x:t>
  </x:si>
  <x:si>
    <x:t>80宣钢</x:t>
  </x:si>
  <x:si>
    <x:t>80*1.2</x:t>
  </x:si>
  <x:si>
    <x:t>穿孔待球化</x:t>
  </x:si>
  <x:si>
    <x:t>51*5</x:t>
  </x:si>
  <x:si>
    <x:t>53*6.5</x:t>
  </x:si>
  <x:si>
    <x:t>57*5</x:t>
  </x:si>
  <x:si>
    <x:t>63*5</x:t>
  </x:si>
  <x:si>
    <x:t>63*6.3</x:t>
  </x:si>
  <x:si>
    <x:t>58*8</x:t>
  </x:si>
  <x:si>
    <x:t>74*6.3</x:t>
  </x:si>
  <x:si>
    <x:t>83*7</x:t>
  </x:si>
  <x:si>
    <x:t>球化待矫直</x:t>
  </x:si>
  <x:si>
    <x:t>53*7.5</x:t>
  </x:si>
  <x:si>
    <x:t>矫直待
酸洗</x:t>
  </x:si>
  <x:si>
    <x:t>酸洗
成品</x:t>
  </x:si>
  <x:si>
    <x:t>51*4</x:t>
  </x:si>
  <x:si>
    <x:t>次成品</x:t>
  </x:si>
  <x:si>
    <x:t>退回带油管</x:t>
  </x:si>
  <x:si>
    <x:t>退回成品翘皮</x:t>
  </x:si>
  <x:si>
    <x:t>成品夹灰</x:t>
  </x:si>
  <x:si>
    <x:t>总计：</x:t>
  </x:si>
  <x:si>
    <x:t>半成品夹灰</x:t>
  </x:si>
  <x:si>
    <x:t>半成品翘皮</x:t>
  </x:si>
  <x:si>
    <x:t>合计</x:t>
  </x:si>
  <x:si>
    <x:t>2026年5月11日轴联科技货物库存明细</x:t>
  </x:si>
  <x:si>
    <x:t>工序</x:t>
  </x:si>
  <x:si>
    <x:t>材质</x:t>
  </x:si>
  <x:si>
    <x:t>长度（m)</x:t>
  </x:si>
  <x:si>
    <x:t>当日产量</x:t>
  </x:si>
  <x:si>
    <x:t>20#</x:t>
  </x:si>
  <x:si>
    <x:t>45#</x:t>
  </x:si>
  <x:si>
    <x:t>6</x:t>
  </x:si>
  <x:si>
    <x:t>40CR</x:t>
  </x:si>
  <x:si>
    <x:t>70</x:t>
  </x:si>
  <x:si>
    <x:t>75</x:t>
  </x:si>
  <x:si>
    <x:t>断钢</x:t>
  </x:si>
  <x:si>
    <x:t>50（20#）</x:t>
  </x:si>
  <x:si>
    <x:t>50</x:t>
  </x:si>
  <x:si>
    <x:t>70（45#）</x:t>
  </x:si>
  <x:si>
    <x:t>70（20#）</x:t>
  </x:si>
  <x:si>
    <x:t>90(20#)</x:t>
  </x:si>
  <x:si>
    <x:t>90</x:t>
  </x:si>
  <x:si>
    <x:t>45#潍钢</x:t>
  </x:si>
  <x:si>
    <x:t>穿孔</x:t>
  </x:si>
  <x:si>
    <x:t>60（20#）</x:t>
  </x:si>
  <x:si>
    <x:t>60*7</x:t>
  </x:si>
  <x:si>
    <x:t>75（20#）</x:t>
  </x:si>
  <x:si>
    <x:t>75*11</x:t>
  </x:si>
  <x:si>
    <x:t>75*14</x:t>
  </x:si>
  <x:si>
    <x:t>60（45#+CR）</x:t>
  </x:si>
  <x:si>
    <x:t>59*8.5</x:t>
  </x:si>
  <x:si>
    <x:t>矫直</x:t>
  </x:si>
  <x:si>
    <x:t>50*5</x:t>
  </x:si>
  <x:si>
    <x:t>50*6</x:t>
  </x:si>
  <x:si>
    <x:t>50*6.5</x:t>
  </x:si>
  <x:si>
    <x:t>50*7</x:t>
  </x:si>
  <x:si>
    <x:t>60*5</x:t>
  </x:si>
  <x:si>
    <x:t>60*6</x:t>
  </x:si>
  <x:si>
    <x:t>60（45#）</x:t>
  </x:si>
  <x:si>
    <x:t>60*10.5</x:t>
  </x:si>
  <x:si>
    <x:t>70*6</x:t>
  </x:si>
  <x:si>
    <x:t>70*7</x:t>
  </x:si>
  <x:si>
    <x:t>70*11</x:t>
  </x:si>
  <x:si>
    <x:t>60*9.5</x:t>
  </x:si>
  <x:si>
    <x:t>59*9</x:t>
  </x:si>
  <x:si>
    <x:t>巨能</x:t>
  </x:si>
  <x:si>
    <x:t>63*10</x:t>
  </x:si>
  <x:si>
    <x:t>二级管</x:t>
  </x:si>
  <x:si>
    <x:t xml:space="preserve">回炉钢 </x:t>
  </x:si>
  <x:si>
    <x:t>2026年5月11日导轨钢库存明细</x:t>
  </x:si>
  <x:si>
    <x:t xml:space="preserve">
青钢</x:t>
  </x:si>
  <x:si>
    <x:t>S55C</x:t>
  </x:si>
  <x:si>
    <x:t>6.3</x:t>
  </x:si>
  <x:si>
    <x:t>7.4</x:t>
  </x:si>
  <x:si>
    <x:t>6.6</x:t>
  </x:si>
  <x:si>
    <x:t>5.7</x:t>
  </x:si>
  <x:si>
    <x:t>28</x:t>
  </x:si>
  <x:si>
    <x:t>22</x:t>
  </x:si>
  <x:si>
    <x:t>20</x:t>
  </x:si>
  <x:si>
    <x:t>临沂钢</x:t>
  </x:si>
  <x:si>
    <x:t>55#</x:t>
  </x:si>
  <x:si>
    <x:t>30</x:t>
  </x:si>
  <x:si>
    <x:t>31</x:t>
  </x:si>
  <x:si>
    <x:t>37</x:t>
  </x:si>
  <x:si>
    <x:t>45</x:t>
  </x:si>
  <x:si>
    <x:t>2026.2.3易合钢管库存明细</x:t>
  </x:si>
  <x:si>
    <x:t>备注</x:t>
  </x:si>
  <x:si>
    <x:t>65巨能</x:t>
  </x:si>
  <x:si>
    <x:t>65*6</x:t>
  </x:si>
  <x:si>
    <x:t>易合</x:t>
  </x:si>
  <x:si>
    <x:t>75永洋</x:t>
  </x:si>
  <x:si>
    <x:t>65*1.55</x:t>
  </x:si>
  <x:si>
    <x:t>75巨能</x:t>
  </x:si>
  <x:si>
    <x:t>75*1.5</x:t>
  </x:si>
  <x:si>
    <x:t>63*9</x:t>
  </x:si>
  <x:si>
    <x:t>球化</x:t>
  </x:si>
  <x:si>
    <x:t>72*5</x:t>
  </x:si>
  <x:si>
    <x:t>2026.3.23高齿库存明细</x:t>
  </x:si>
  <x:si>
    <x:t>包钢</x:t>
  </x:si>
  <x:si>
    <x:t>高齿</x:t>
  </x:si>
  <x:si>
    <x:t>65*1.5</x:t>
  </x:si>
  <x:si>
    <x:t>酸洗成品</x:t>
  </x:si>
  <x:si>
    <x:t>2026.5.12马强济加工明细</x:t>
  </x:si>
  <x:si>
    <x:t>宣钢</x:t>
  </x:si>
  <x:si>
    <x:t>35cr</x:t>
  </x:si>
  <x:si>
    <x:t>50*1.5</x:t>
  </x:si>
  <x:si>
    <x:t>53*7</x:t>
  </x:si>
  <x:si>
    <x:t>63*8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</x:si>
</x:sst>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_ "/>
    <x:numFmt numFmtId="177" formatCode="0.000_ "/>
  </x:numFmts>
  <x:fonts count="59">
    <x:font>
      <x:sz val="11"/>
      <x:color theme="1"/>
      <x:name val="宋体"/>
      <x:charset val="134"/>
      <x:scheme val="minor"/>
    </x:font>
    <x:font>
      <x:b/>
      <x:sz val="18"/>
      <x:color theme="1"/>
      <x:name val="宋体"/>
      <x:charset val="134"/>
    </x:font>
    <x:font>
      <x:b/>
      <x:sz val="14"/>
      <x:color theme="1"/>
      <x:name val="宋体"/>
      <x:charset val="134"/>
    </x:font>
    <x:font>
      <x:b/>
      <x:sz val="14"/>
      <x:color theme="1"/>
      <x:name val="宋体"/>
      <x:charset val="134"/>
      <x:scheme val="minor"/>
    </x:font>
    <x:font>
      <x:b/>
      <x:sz val="14"/>
      <x:name val="宋体"/>
      <x:charset val="134"/>
    </x:font>
    <x:font>
      <x:sz val="16"/>
      <x:color theme="1"/>
      <x:name val="宋体"/>
      <x:charset val="134"/>
      <x:scheme val="minor"/>
    </x:font>
    <x:font>
      <x:sz val="14"/>
      <x:color theme="1"/>
      <x:name val="宋体"/>
      <x:charset val="134"/>
      <x:scheme val="minor"/>
    </x:font>
    <x:font>
      <x:b/>
      <x:sz val="24"/>
      <x:color theme="1"/>
      <x:name val="宋体"/>
      <x:charset val="134"/>
    </x:font>
    <x:font>
      <x:b/>
      <x:sz val="16"/>
      <x:color theme="1"/>
      <x:name val="宋体"/>
      <x:charset val="134"/>
    </x:font>
    <x:font>
      <x:b/>
      <x:sz val="16"/>
      <x:name val="宋体"/>
      <x:charset val="134"/>
      <x:scheme val="minor"/>
    </x:font>
    <x:font>
      <x:b/>
      <x:sz val="12"/>
      <x:name val="宋体"/>
      <x:charset val="134"/>
    </x:font>
    <x:font>
      <x:b/>
      <x:sz val="16"/>
      <x:color theme="4" tint="-0.25"/>
      <x:name val="宋体"/>
      <x:charset val="134"/>
    </x:font>
    <x:font>
      <x:b/>
      <x:sz val="18"/>
      <x:color theme="4"/>
      <x:name val="宋体"/>
      <x:charset val="134"/>
    </x:font>
    <x:font>
      <x:b/>
      <x:sz val="16"/>
      <x:color theme="4"/>
      <x:name val="宋体"/>
      <x:charset val="134"/>
    </x:font>
    <x:font>
      <x:b/>
      <x:sz val="14"/>
      <x:name val="宋体"/>
      <x:charset val="134"/>
      <x:scheme val="minor"/>
    </x:font>
    <x:font>
      <x:b/>
      <x:sz val="14"/>
      <x:color theme="4"/>
      <x:name val="宋体"/>
      <x:charset val="134"/>
      <x:scheme val="minor"/>
    </x:font>
    <x:font>
      <x:b/>
      <x:sz val="16"/>
      <x:color theme="4"/>
      <x:name val="宋体"/>
      <x:charset val="134"/>
      <x:scheme val="minor"/>
    </x:font>
    <x:font>
      <x:b/>
      <x:sz val="16"/>
      <x:color rgb="FFFF0000"/>
      <x:name val="宋体"/>
      <x:charset val="134"/>
      <x:scheme val="minor"/>
    </x:font>
    <x:font>
      <x:b/>
      <x:sz val="16"/>
      <x:name val="宋体"/>
      <x:charset val="134"/>
    </x:font>
    <x:font>
      <x:b/>
      <x:sz val="12"/>
      <x:color theme="1"/>
      <x:name val="宋体"/>
      <x:charset val="134"/>
    </x:font>
    <x:font>
      <x:b/>
      <x:sz val="10"/>
      <x:name val="宋体"/>
      <x:charset val="134"/>
    </x:font>
    <x:font>
      <x:b/>
      <x:sz val="16"/>
      <x:color theme="1"/>
      <x:name val="宋体"/>
      <x:charset val="134"/>
      <x:scheme val="minor"/>
    </x:font>
    <x:font>
      <x:b/>
      <x:sz val="16"/>
      <x:color rgb="FFFF0000"/>
      <x:name val="宋体"/>
      <x:charset val="134"/>
    </x:font>
    <x:font>
      <x:sz val="18"/>
      <x:color theme="1"/>
      <x:name val="宋体"/>
      <x:charset val="134"/>
      <x:scheme val="minor"/>
    </x:font>
    <x:font>
      <x:b/>
      <x:sz val="26"/>
      <x:color theme="1"/>
      <x:name val="宋体"/>
      <x:charset val="134"/>
    </x:font>
    <x:font>
      <x:b/>
      <x:sz val="18"/>
      <x:name val="宋体"/>
      <x:charset val="134"/>
      <x:scheme val="minor"/>
    </x:font>
    <x:font>
      <x:b/>
      <x:sz val="18"/>
      <x:color rgb="FFFF0000"/>
      <x:name val="宋体"/>
      <x:charset val="134"/>
      <x:scheme val="minor"/>
    </x:font>
    <x:font>
      <x:b/>
      <x:sz val="18"/>
      <x:color theme="1"/>
      <x:name val="宋体"/>
      <x:charset val="134"/>
      <x:scheme val="minor"/>
    </x:font>
    <x:font>
      <x:b/>
      <x:sz val="18"/>
      <x:name val="宋体"/>
      <x:charset val="134"/>
    </x:font>
    <x:font>
      <x:sz val="18"/>
      <x:color rgb="FFFF0000"/>
      <x:name val="宋体"/>
      <x:charset val="134"/>
      <x:scheme val="minor"/>
    </x:font>
    <x:font>
      <x:b/>
      <x:sz val="18"/>
      <x:color rgb="FF7030A0"/>
      <x:name val="宋体"/>
      <x:charset val="134"/>
    </x:font>
    <x:font>
      <x:b/>
      <x:sz val="18"/>
      <x:color theme="5"/>
      <x:name val="宋体"/>
      <x:charset val="134"/>
    </x:font>
    <x:font>
      <x:b/>
      <x:sz val="18"/>
      <x:color rgb="FFC00000"/>
      <x:name val="宋体"/>
      <x:charset val="134"/>
    </x:font>
    <x:font>
      <x:b/>
      <x:sz val="18"/>
      <x:color theme="9"/>
      <x:name val="宋体"/>
      <x:charset val="134"/>
    </x:font>
    <x:font>
      <x:b/>
      <x:sz val="18"/>
      <x:color theme="8"/>
      <x:name val="宋体"/>
      <x:charset val="134"/>
    </x:font>
    <x:font>
      <x:b/>
      <x:sz val="18"/>
      <x:color rgb="FFFF0000"/>
      <x:name val="宋体"/>
      <x:charset val="134"/>
    </x:font>
    <x:font>
      <x:b/>
      <x:sz val="18"/>
      <x:color theme="3"/>
      <x:name val="宋体"/>
      <x:charset val="134"/>
    </x:font>
    <x:font>
      <x:b/>
      <x:sz val="18"/>
      <x:color theme="2" tint="-0.75"/>
      <x:name val="宋体"/>
      <x:charset val="134"/>
    </x:font>
    <x:font>
      <x:b/>
      <x:sz val="14"/>
      <x:color rgb="FF7030A0"/>
      <x:name val="宋体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0"/>
      <x:color indexed="8"/>
      <x:name val="Arial"/>
      <x:charset val="134"/>
    </x:font>
  </x:fonts>
  <x:fills count="40">
    <x:fill>
      <x:patternFill patternType="none"/>
    </x:fill>
    <x:fill>
      <x:patternFill patternType="gray125"/>
    </x:fill>
    <x:fill>
      <x:patternFill patternType="solid">
        <x:fgColor theme="6" tint="0.8"/>
        <x:bgColor indexed="64"/>
      </x:patternFill>
    </x:fill>
    <x:fill>
      <x:patternFill patternType="solid">
        <x:fgColor theme="4" tint="0.8"/>
        <x:bgColor indexed="64"/>
      </x:patternFill>
    </x:fill>
    <x:fill>
      <x:patternFill patternType="solid">
        <x:fgColor theme="9" tint="0.8"/>
        <x:bgColor indexed="64"/>
      </x:patternFill>
    </x:fill>
    <x:fill>
      <x:patternFill patternType="solid">
        <x:fgColor theme="8" tint="0.6"/>
        <x:bgColor indexed="64"/>
      </x:patternFill>
    </x:fill>
    <x:fill>
      <x:patternFill patternType="solid">
        <x:fgColor theme="2" tint="-0.1"/>
        <x:bgColor indexed="64"/>
      </x:patternFill>
    </x:fill>
    <x:fill>
      <x:patternFill patternType="solid">
        <x:fgColor theme="8" tint="0.8"/>
        <x:bgColor indexed="64"/>
      </x:patternFill>
    </x:fill>
    <x:fill>
      <x:patternFill patternType="solid">
        <x:fgColor theme="6" tint="0.6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9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0" fillId="9" borderId="5" applyNumberFormat="0" applyFont="0" applyAlignment="0" applyProtection="0">
      <x:alignment vertical="center"/>
    </x:xf>
    <x:xf numFmtId="0" fontId="41" fillId="0" borderId="0" applyNumberFormat="0" applyFill="0" applyBorder="0" applyAlignment="0" applyProtection="0">
      <x:alignment vertical="center"/>
    </x:xf>
    <x:xf numFmtId="0" fontId="42" fillId="0" borderId="0" applyNumberFormat="0" applyFill="0" applyBorder="0" applyAlignment="0" applyProtection="0">
      <x:alignment vertical="center"/>
    </x:xf>
    <x:xf numFmtId="0" fontId="43" fillId="0" borderId="0" applyNumberFormat="0" applyFill="0" applyBorder="0" applyAlignment="0" applyProtection="0">
      <x:alignment vertical="center"/>
    </x:xf>
    <x:xf numFmtId="0" fontId="44" fillId="0" borderId="6" applyNumberFormat="0" applyFill="0" applyAlignment="0" applyProtection="0">
      <x:alignment vertical="center"/>
    </x:xf>
    <x:xf numFmtId="0" fontId="45" fillId="0" borderId="6" applyNumberFormat="0" applyFill="0" applyAlignment="0" applyProtection="0">
      <x:alignment vertical="center"/>
    </x:xf>
    <x:xf numFmtId="0" fontId="46" fillId="0" borderId="7" applyNumberFormat="0" applyFill="0" applyAlignment="0" applyProtection="0">
      <x:alignment vertical="center"/>
    </x:xf>
    <x:xf numFmtId="0" fontId="46" fillId="0" borderId="0" applyNumberFormat="0" applyFill="0" applyBorder="0" applyAlignment="0" applyProtection="0">
      <x:alignment vertical="center"/>
    </x:xf>
    <x:xf numFmtId="0" fontId="47" fillId="10" borderId="8" applyNumberFormat="0" applyAlignment="0" applyProtection="0">
      <x:alignment vertical="center"/>
    </x:xf>
    <x:xf numFmtId="0" fontId="48" fillId="11" borderId="9" applyNumberFormat="0" applyAlignment="0" applyProtection="0">
      <x:alignment vertical="center"/>
    </x:xf>
    <x:xf numFmtId="0" fontId="49" fillId="11" borderId="8" applyNumberFormat="0" applyAlignment="0" applyProtection="0">
      <x:alignment vertical="center"/>
    </x:xf>
    <x:xf numFmtId="0" fontId="50" fillId="12" borderId="10" applyNumberFormat="0" applyAlignment="0" applyProtection="0">
      <x:alignment vertical="center"/>
    </x:xf>
    <x:xf numFmtId="0" fontId="51" fillId="0" borderId="11" applyNumberFormat="0" applyFill="0" applyAlignment="0" applyProtection="0">
      <x:alignment vertical="center"/>
    </x:xf>
    <x:xf numFmtId="0" fontId="52" fillId="0" borderId="12" applyNumberFormat="0" applyFill="0" applyAlignment="0" applyProtection="0">
      <x:alignment vertical="center"/>
    </x:xf>
    <x:xf numFmtId="0" fontId="53" fillId="13" borderId="0" applyNumberFormat="0" applyBorder="0" applyAlignment="0" applyProtection="0">
      <x:alignment vertical="center"/>
    </x:xf>
    <x:xf numFmtId="0" fontId="54" fillId="14" borderId="0" applyNumberFormat="0" applyBorder="0" applyAlignment="0" applyProtection="0">
      <x:alignment vertical="center"/>
    </x:xf>
    <x:xf numFmtId="0" fontId="55" fillId="15" borderId="0" applyNumberFormat="0" applyBorder="0" applyAlignment="0" applyProtection="0">
      <x:alignment vertical="center"/>
    </x:xf>
    <x:xf numFmtId="0" fontId="56" fillId="16" borderId="0" applyNumberFormat="0" applyBorder="0" applyAlignment="0" applyProtection="0">
      <x:alignment vertical="center"/>
    </x:xf>
    <x:xf numFmtId="0" fontId="57" fillId="17" borderId="0" applyNumberFormat="0" applyBorder="0" applyAlignment="0" applyProtection="0">
      <x:alignment vertical="center"/>
    </x:xf>
    <x:xf numFmtId="0" fontId="57" fillId="18" borderId="0" applyNumberFormat="0" applyBorder="0" applyAlignment="0" applyProtection="0">
      <x:alignment vertical="center"/>
    </x:xf>
    <x:xf numFmtId="0" fontId="56" fillId="19" borderId="0" applyNumberFormat="0" applyBorder="0" applyAlignment="0" applyProtection="0">
      <x:alignment vertical="center"/>
    </x:xf>
    <x:xf numFmtId="0" fontId="56" fillId="20" borderId="0" applyNumberFormat="0" applyBorder="0" applyAlignment="0" applyProtection="0">
      <x:alignment vertical="center"/>
    </x:xf>
    <x:xf numFmtId="0" fontId="57" fillId="21" borderId="0" applyNumberFormat="0" applyBorder="0" applyAlignment="0" applyProtection="0">
      <x:alignment vertical="center"/>
    </x:xf>
    <x:xf numFmtId="0" fontId="57" fillId="22" borderId="0" applyNumberFormat="0" applyBorder="0" applyAlignment="0" applyProtection="0">
      <x:alignment vertical="center"/>
    </x:xf>
    <x:xf numFmtId="0" fontId="56" fillId="23" borderId="0" applyNumberFormat="0" applyBorder="0" applyAlignment="0" applyProtection="0">
      <x:alignment vertical="center"/>
    </x:xf>
    <x:xf numFmtId="0" fontId="56" fillId="24" borderId="0" applyNumberFormat="0" applyBorder="0" applyAlignment="0" applyProtection="0">
      <x:alignment vertical="center"/>
    </x:xf>
    <x:xf numFmtId="0" fontId="57" fillId="25" borderId="0" applyNumberFormat="0" applyBorder="0" applyAlignment="0" applyProtection="0">
      <x:alignment vertical="center"/>
    </x:xf>
    <x:xf numFmtId="0" fontId="57" fillId="26" borderId="0" applyNumberFormat="0" applyBorder="0" applyAlignment="0" applyProtection="0">
      <x:alignment vertical="center"/>
    </x:xf>
    <x:xf numFmtId="0" fontId="56" fillId="27" borderId="0" applyNumberFormat="0" applyBorder="0" applyAlignment="0" applyProtection="0">
      <x:alignment vertical="center"/>
    </x:xf>
    <x:xf numFmtId="0" fontId="56" fillId="28" borderId="0" applyNumberFormat="0" applyBorder="0" applyAlignment="0" applyProtection="0">
      <x:alignment vertical="center"/>
    </x:xf>
    <x:xf numFmtId="0" fontId="57" fillId="29" borderId="0" applyNumberFormat="0" applyBorder="0" applyAlignment="0" applyProtection="0">
      <x:alignment vertical="center"/>
    </x:xf>
    <x:xf numFmtId="0" fontId="57" fillId="30" borderId="0" applyNumberFormat="0" applyBorder="0" applyAlignment="0" applyProtection="0">
      <x:alignment vertical="center"/>
    </x:xf>
    <x:xf numFmtId="0" fontId="56" fillId="31" borderId="0" applyNumberFormat="0" applyBorder="0" applyAlignment="0" applyProtection="0">
      <x:alignment vertical="center"/>
    </x:xf>
    <x:xf numFmtId="0" fontId="56" fillId="32" borderId="0" applyNumberFormat="0" applyBorder="0" applyAlignment="0" applyProtection="0">
      <x:alignment vertical="center"/>
    </x:xf>
    <x:xf numFmtId="0" fontId="57" fillId="33" borderId="0" applyNumberFormat="0" applyBorder="0" applyAlignment="0" applyProtection="0">
      <x:alignment vertical="center"/>
    </x:xf>
    <x:xf numFmtId="0" fontId="57" fillId="34" borderId="0" applyNumberFormat="0" applyBorder="0" applyAlignment="0" applyProtection="0">
      <x:alignment vertical="center"/>
    </x:xf>
    <x:xf numFmtId="0" fontId="56" fillId="35" borderId="0" applyNumberFormat="0" applyBorder="0" applyAlignment="0" applyProtection="0">
      <x:alignment vertical="center"/>
    </x:xf>
    <x:xf numFmtId="0" fontId="56" fillId="36" borderId="0" applyNumberFormat="0" applyBorder="0" applyAlignment="0" applyProtection="0">
      <x:alignment vertical="center"/>
    </x:xf>
    <x:xf numFmtId="0" fontId="57" fillId="37" borderId="0" applyNumberFormat="0" applyBorder="0" applyAlignment="0" applyProtection="0">
      <x:alignment vertical="center"/>
    </x:xf>
    <x:xf numFmtId="0" fontId="57" fillId="38" borderId="0" applyNumberFormat="0" applyBorder="0" applyAlignment="0" applyProtection="0">
      <x:alignment vertical="center"/>
    </x:xf>
    <x:xf numFmtId="0" fontId="56" fillId="39" borderId="0" applyNumberFormat="0" applyBorder="0" applyAlignment="0" applyProtection="0">
      <x:alignment vertical="center"/>
    </x:xf>
    <x:xf numFmtId="0" fontId="58" fillId="0" borderId="0">
      <x:alignment vertical="center"/>
    </x:xf>
  </x:cellStyleXfs>
  <x:cellXfs count="165">
    <x:xf numFmtId="0" fontId="0" fillId="0" borderId="0" xfId="0">
      <x:alignment vertical="center"/>
    </x:xf>
    <x:xf numFmtId="176" fontId="1" fillId="0" borderId="1" xfId="0" applyNumberFormat="1" applyFont="1" applyFill="1" applyBorder="1" applyAlignment="1">
      <x:alignment horizontal="center" vertical="center"/>
    </x:xf>
    <x:xf numFmtId="176" fontId="2" fillId="0" borderId="1" xfId="0" applyNumberFormat="1" applyFont="1" applyFill="1" applyBorder="1" applyAlignment="1">
      <x:alignment horizontal="center" vertical="center"/>
    </x:xf>
    <x:xf numFmtId="176" fontId="2" fillId="0" borderId="2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176" fontId="3" fillId="0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176" fontId="2" fillId="0" borderId="3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176" fontId="2" fillId="0" borderId="4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/>
    </x:xf>
    <x:xf numFmtId="176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176" fontId="2" fillId="0" borderId="1" xfId="0" applyNumberFormat="1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0" fillId="0" borderId="0" xfId="0" applyNumberFormat="1">
      <x:alignment vertical="center"/>
    </x:xf>
    <x:xf numFmtId="176" fontId="7" fillId="3" borderId="1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176" fontId="2" fillId="2" borderId="1" xfId="0" applyNumberFormat="1" applyFont="1" applyFill="1" applyBorder="1" applyAlignment="1">
      <x:alignment horizontal="center" vertical="center"/>
    </x:xf>
    <x:xf numFmtId="176" fontId="2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176" fontId="2" fillId="5" borderId="1" xfId="0" applyNumberFormat="1" applyFont="1" applyFill="1" applyBorder="1" applyAlignment="1">
      <x:alignment horizontal="center" vertical="center"/>
    </x:xf>
    <x:xf numFmtId="176" fontId="4" fillId="5" borderId="1" xfId="0" applyNumberFormat="1" applyFont="1" applyFill="1" applyBorder="1" applyAlignment="1">
      <x:alignment horizontal="center" vertical="center"/>
    </x:xf>
    <x:xf numFmtId="176" fontId="2" fillId="0" borderId="0" xfId="0" applyNumberFormat="1" applyFont="1" applyFill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 wrapText="1"/>
    </x:xf>
    <x:xf numFmtId="176" fontId="10" fillId="2" borderId="1" xfId="0" applyNumberFormat="1" applyFont="1" applyFill="1" applyBorder="1" applyAlignment="1">
      <x:alignment horizontal="center" vertical="center"/>
    </x:xf>
    <x:xf numFmtId="49" fontId="4" fillId="0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13" fillId="3" borderId="1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 applyAlignment="1">
      <x:alignment horizontal="center" vertical="center"/>
    </x:xf>
    <x:xf numFmtId="0" fontId="14" fillId="0" borderId="1" xfId="0" applyFont="1" applyFill="1" applyBorder="1" applyAlignment="1">
      <x:alignment horizontal="center" vertical="center"/>
    </x:xf>
    <x:xf numFmtId="49" fontId="4" fillId="4" borderId="1" xfId="0" applyNumberFormat="1" applyFont="1" applyFill="1" applyBorder="1" applyAlignment="1">
      <x:alignment horizontal="center" vertical="center"/>
    </x:xf>
    <x:xf numFmtId="0" fontId="9" fillId="0" borderId="2" xfId="0" applyFont="1" applyBorder="1" applyAlignment="1">
      <x:alignment horizontal="center" vertical="center" wrapText="1"/>
    </x:xf>
    <x:xf numFmtId="0" fontId="12" fillId="6" borderId="2" xfId="0" applyNumberFormat="1" applyFont="1" applyFill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 wrapText="1"/>
    </x:xf>
    <x:xf numFmtId="0" fontId="12" fillId="6" borderId="4" xfId="0" applyNumberFormat="1" applyFont="1" applyFill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 wrapText="1"/>
    </x:xf>
    <x:xf numFmtId="0" fontId="12" fillId="6" borderId="3" xfId="0" applyNumberFormat="1" applyFont="1" applyFill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5" fillId="0" borderId="1" xfId="0" applyNumberFormat="1" applyFont="1" applyBorder="1">
      <x:alignment vertical="center"/>
    </x:xf>
    <x:xf numFmtId="177" fontId="15" fillId="0" borderId="1" xfId="0" applyNumberFormat="1" applyFont="1" applyBorder="1">
      <x:alignment vertical="center"/>
    </x:xf>
    <x:xf numFmtId="0" fontId="16" fillId="0" borderId="1" xfId="0" applyFont="1" applyBorder="1" applyAlignment="1">
      <x:alignment horizontal="center" vertical="center"/>
    </x:xf>
    <x:xf numFmtId="0" fontId="17" fillId="0" borderId="1" xfId="0" applyFont="1" applyBorder="1" applyAlignment="1">
      <x:alignment horizontal="center" vertical="center"/>
    </x:xf>
    <x:xf numFmtId="176" fontId="8" fillId="0" borderId="1" xfId="0" applyNumberFormat="1" applyFont="1" applyFill="1" applyBorder="1" applyAlignment="1">
      <x:alignment horizontal="center" vertical="center"/>
    </x:xf>
    <x:xf numFmtId="176" fontId="8" fillId="2" borderId="1" xfId="0" applyNumberFormat="1" applyFont="1" applyFill="1" applyBorder="1" applyAlignment="1">
      <x:alignment horizontal="center" vertical="center"/>
    </x:xf>
    <x:xf numFmtId="176" fontId="8" fillId="4" borderId="1" xfId="0" applyNumberFormat="1" applyFont="1" applyFill="1" applyBorder="1" applyAlignment="1">
      <x:alignment horizontal="center" vertical="center"/>
    </x:xf>
    <x:xf numFmtId="176" fontId="8" fillId="3" borderId="1" xfId="0" applyNumberFormat="1" applyFont="1" applyFill="1" applyBorder="1" applyAlignment="1">
      <x:alignment horizontal="center" vertical="center"/>
    </x:xf>
    <x:xf numFmtId="176" fontId="8" fillId="5" borderId="1" xfId="0" applyNumberFormat="1" applyFont="1" applyFill="1" applyBorder="1" applyAlignment="1">
      <x:alignment horizontal="center" vertical="center"/>
    </x:xf>
    <x:xf numFmtId="176" fontId="8" fillId="0" borderId="4" xfId="0" applyNumberFormat="1" applyFont="1" applyFill="1" applyBorder="1" applyAlignment="1">
      <x:alignment horizontal="center" vertical="center" wrapText="1"/>
    </x:xf>
    <x:xf numFmtId="0" fontId="18" fillId="0" borderId="1" xfId="0" applyNumberFormat="1" applyFont="1" applyFill="1" applyBorder="1" applyAlignment="1">
      <x:alignment horizontal="center" vertical="center"/>
    </x:xf>
    <x:xf numFmtId="0" fontId="18" fillId="4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8" fillId="2" borderId="4" xfId="0" applyNumberFormat="1" applyFont="1" applyFill="1" applyBorder="1" applyAlignment="1">
      <x:alignment horizontal="center" vertical="center"/>
    </x:xf>
    <x:xf numFmtId="176" fontId="19" fillId="2" borderId="1" xfId="0" applyNumberFormat="1" applyFont="1" applyFill="1" applyBorder="1" applyAlignment="1">
      <x:alignment horizontal="center" vertical="center"/>
    </x:xf>
    <x:xf numFmtId="49" fontId="2" fillId="0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176" fontId="18" fillId="3" borderId="1" xfId="0" applyNumberFormat="1" applyFont="1" applyFill="1" applyBorder="1" applyAlignment="1">
      <x:alignment horizontal="center" vertical="center"/>
    </x:xf>
    <x:xf numFmtId="0" fontId="18" fillId="3" borderId="1" xfId="0" applyNumberFormat="1" applyFont="1" applyFill="1" applyBorder="1" applyAlignment="1">
      <x:alignment horizontal="center" vertical="center"/>
    </x:xf>
    <x:xf numFmtId="176" fontId="8" fillId="0" borderId="1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/>
    </x:xf>
    <x:xf numFmtId="49" fontId="2" fillId="4" borderId="1" xfId="0" applyNumberFormat="1" applyFont="1" applyFill="1" applyBorder="1" applyAlignment="1">
      <x:alignment horizontal="center" vertical="center"/>
    </x:xf>
    <x:xf numFmtId="176" fontId="20" fillId="2" borderId="1" xfId="0" applyNumberFormat="1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 wrapText="1"/>
    </x:xf>
    <x:xf numFmtId="0" fontId="21" fillId="0" borderId="0" xfId="0" applyFont="1" applyFill="1" applyBorder="1" applyAlignment="1">
      <x:alignment horizontal="center" vertical="center"/>
    </x:xf>
    <x:xf numFmtId="0" fontId="18" fillId="0" borderId="0" xfId="0" applyFont="1" applyFill="1" applyBorder="1" applyAlignment="1">
      <x:alignment horizontal="center" vertical="center"/>
    </x:xf>
    <x:xf numFmtId="0" fontId="1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176" fontId="8" fillId="0" borderId="2" xfId="0" applyNumberFormat="1" applyFont="1" applyFill="1" applyBorder="1" applyAlignment="1">
      <x:alignment horizontal="center" vertical="center" wrapText="1"/>
    </x:xf>
    <x:xf numFmtId="176" fontId="10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/>
    </x:xf>
    <x:xf numFmtId="176" fontId="18" fillId="0" borderId="4" xfId="0" applyNumberFormat="1" applyFont="1" applyFill="1" applyBorder="1" applyAlignment="1">
      <x:alignment horizontal="center" vertical="center" wrapText="1"/>
    </x:xf>
    <x:xf numFmtId="0" fontId="10" fillId="2" borderId="1" xfId="0" applyFont="1" applyFill="1" applyBorder="1" applyAlignment="1">
      <x:alignment horizontal="center" vertical="center"/>
    </x:xf>
    <x:xf numFmtId="176" fontId="4" fillId="4" borderId="1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0" borderId="0" xfId="0" applyFont="1" applyFill="1" applyBorder="1" applyAlignment="1">
      <x:alignment horizontal="center"/>
    </x:xf>
    <x:xf numFmtId="176" fontId="10" fillId="2" borderId="1" xfId="0" applyNumberFormat="1" applyFont="1" applyFill="1" applyBorder="1" applyAlignment="1">
      <x:alignment vertical="center" wrapText="1"/>
    </x:xf>
    <x:xf numFmtId="176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/>
    </x:xf>
    <x:xf numFmtId="176" fontId="4" fillId="0" borderId="3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176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/>
    </x:xf>
    <x:xf numFmtId="0" fontId="5" fillId="0" borderId="0" xfId="0" applyFont="1" applyFill="1" applyBorder="1" applyAlignment="1">
      <x:alignment horizontal="center" vertical="center"/>
    </x:xf>
    <x:xf numFmtId="0" fontId="5" fillId="0" borderId="0" xfId="0" applyFont="1" applyBorder="1" applyAlignment="1">
      <x:alignment horizontal="center" vertical="center"/>
    </x:xf>
    <x:xf numFmtId="0" fontId="18" fillId="0" borderId="1" xfId="0" applyNumberFormat="1" applyFont="1" applyFill="1" applyBorder="1" applyAlignment="1">
      <x:alignment horizontal="center"/>
    </x:xf>
    <x:xf numFmtId="0" fontId="22" fillId="7" borderId="1" xfId="0" applyNumberFormat="1" applyFont="1" applyFill="1" applyBorder="1" applyAlignment="1">
      <x:alignment horizontal="center"/>
    </x:xf>
    <x:xf numFmtId="0" fontId="5" fillId="0" borderId="0" xfId="0" applyFont="1" applyFill="1" applyAlignment="1">
      <x:alignment horizontal="center" vertical="center"/>
    </x:xf>
    <x:xf numFmtId="0" fontId="23" fillId="0" borderId="0" xfId="0" applyFont="1">
      <x:alignment vertical="center"/>
    </x:xf>
    <x:xf numFmtId="0" fontId="23" fillId="0" borderId="0" xfId="0" applyFont="1" applyAlignment="1">
      <x:alignment horizontal="center" vertical="center"/>
    </x:xf>
    <x:xf numFmtId="176" fontId="24" fillId="2" borderId="1" xfId="0" applyNumberFormat="1" applyFont="1" applyFill="1" applyBorder="1" applyAlignment="1">
      <x:alignment horizontal="center" vertical="center"/>
    </x:xf>
    <x:xf numFmtId="176" fontId="1" fillId="0" borderId="1" xfId="0" applyNumberFormat="1" applyFont="1" applyFill="1" applyBorder="1" applyAlignment="1">
      <x:alignment horizontal="center"/>
    </x:xf>
    <x:xf numFmtId="176" fontId="1" fillId="3" borderId="1" xfId="0" applyNumberFormat="1" applyFont="1" applyFill="1" applyBorder="1" applyAlignment="1">
      <x:alignment horizontal="center"/>
    </x:xf>
    <x:xf numFmtId="176" fontId="1" fillId="8" borderId="1" xfId="0" applyNumberFormat="1" applyFont="1" applyFill="1" applyBorder="1" applyAlignment="1">
      <x:alignment horizontal="center"/>
    </x:xf>
    <x:xf numFmtId="176" fontId="1" fillId="4" borderId="1" xfId="0" applyNumberFormat="1" applyFont="1" applyFill="1" applyBorder="1" applyAlignment="1">
      <x:alignment horizontal="center"/>
    </x:xf>
    <x:xf numFmtId="176" fontId="1" fillId="0" borderId="1" xfId="0" applyNumberFormat="1" applyFont="1" applyFill="1" applyBorder="1" applyAlignment="1">
      <x:alignment horizontal="center" vertical="center" wrapText="1"/>
    </x:xf>
    <x:xf numFmtId="0" fontId="25" fillId="0" borderId="1" xfId="0" applyFont="1" applyFill="1" applyBorder="1" applyAlignment="1">
      <x:alignment horizontal="center"/>
    </x:xf>
    <x:xf numFmtId="0" fontId="26" fillId="0" borderId="1" xfId="0" applyFont="1" applyFill="1" applyBorder="1" applyAlignment="1">
      <x:alignment horizontal="center"/>
    </x:xf>
    <x:xf numFmtId="0" fontId="27" fillId="3" borderId="1" xfId="0" applyNumberFormat="1" applyFont="1" applyFill="1" applyBorder="1" applyAlignment="1">
      <x:alignment horizontal="center"/>
    </x:xf>
    <x:xf numFmtId="0" fontId="27" fillId="8" borderId="1" xfId="0" applyNumberFormat="1" applyFont="1" applyFill="1" applyBorder="1" applyAlignment="1">
      <x:alignment horizontal="center"/>
    </x:xf>
    <x:xf numFmtId="0" fontId="27" fillId="0" borderId="1" xfId="0" applyNumberFormat="1" applyFont="1" applyFill="1" applyBorder="1" applyAlignment="1">
      <x:alignment horizontal="center"/>
    </x:xf>
    <x:xf numFmtId="0" fontId="27" fillId="4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8" fillId="0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29" fillId="0" borderId="0" xfId="0" applyFont="1">
      <x:alignment vertical="center"/>
    </x:xf>
    <x:xf numFmtId="0" fontId="30" fillId="0" borderId="1" xfId="0" applyFont="1" applyFill="1" applyBorder="1" applyAlignment="1">
      <x:alignment horizontal="center"/>
    </x:xf>
    <x:xf numFmtId="0" fontId="31" fillId="0" borderId="1" xfId="0" applyFont="1" applyFill="1" applyBorder="1" applyAlignment="1">
      <x:alignment horizontal="center"/>
    </x:xf>
    <x:xf numFmtId="0" fontId="32" fillId="0" borderId="1" xfId="0" applyFont="1" applyFill="1" applyBorder="1" applyAlignment="1">
      <x:alignment horizontal="center"/>
    </x:xf>
    <x:xf numFmtId="176" fontId="33" fillId="0" borderId="1" xfId="0" applyNumberFormat="1" applyFont="1" applyFill="1" applyBorder="1" applyAlignment="1">
      <x:alignment horizontal="center"/>
    </x:xf>
    <x:xf numFmtId="0" fontId="12" fillId="0" borderId="1" xfId="0" applyFont="1" applyFill="1" applyBorder="1" applyAlignment="1">
      <x:alignment horizontal="center"/>
    </x:xf>
    <x:xf numFmtId="0" fontId="34" fillId="0" borderId="1" xfId="0" applyFont="1" applyFill="1" applyBorder="1" applyAlignment="1">
      <x:alignment horizontal="center"/>
    </x:xf>
    <x:xf numFmtId="176" fontId="12" fillId="0" borderId="1" xfId="0" applyNumberFormat="1" applyFont="1" applyFill="1" applyBorder="1" applyAlignment="1">
      <x:alignment horizontal="center"/>
    </x:xf>
    <x:xf numFmtId="176" fontId="28" fillId="0" borderId="1" xfId="0" applyNumberFormat="1" applyFont="1" applyFill="1" applyBorder="1" applyAlignment="1">
      <x:alignment horizontal="center"/>
    </x:xf>
    <x:xf numFmtId="176" fontId="30" fillId="0" borderId="1" xfId="0" applyNumberFormat="1" applyFont="1" applyFill="1" applyBorder="1" applyAlignment="1">
      <x:alignment horizontal="center"/>
    </x:xf>
    <x:xf numFmtId="176" fontId="34" fillId="0" borderId="1" xfId="0" applyNumberFormat="1" applyFont="1" applyFill="1" applyBorder="1" applyAlignment="1">
      <x:alignment horizontal="center"/>
    </x:xf>
    <x:xf numFmtId="0" fontId="35" fillId="0" borderId="1" xfId="0" applyFont="1" applyFill="1" applyBorder="1" applyAlignment="1">
      <x:alignment horizontal="center"/>
    </x:xf>
    <x:xf numFmtId="176" fontId="35" fillId="0" borderId="1" xfId="0" applyNumberFormat="1" applyFont="1" applyFill="1" applyBorder="1" applyAlignment="1">
      <x:alignment horizontal="center"/>
    </x:xf>
    <x:xf numFmtId="176" fontId="1" fillId="0" borderId="2" xfId="0" applyNumberFormat="1" applyFont="1" applyFill="1" applyBorder="1" applyAlignment="1">
      <x:alignment horizontal="center" vertical="center" wrapText="1"/>
    </x:xf>
    <x:xf numFmtId="0" fontId="28" fillId="3" borderId="1" xfId="0" applyNumberFormat="1" applyFont="1" applyFill="1" applyBorder="1" applyAlignment="1">
      <x:alignment horizontal="center"/>
    </x:xf>
    <x:xf numFmtId="0" fontId="28" fillId="8" borderId="1" xfId="0" applyNumberFormat="1" applyFont="1" applyFill="1" applyBorder="1" applyAlignment="1">
      <x:alignment horizontal="center"/>
    </x:xf>
    <x:xf numFmtId="0" fontId="28" fillId="0" borderId="1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vertical="center"/>
    </x:xf>
    <x:xf numFmtId="176" fontId="1" fillId="0" borderId="4" xfId="0" applyNumberFormat="1" applyFont="1" applyFill="1" applyBorder="1" applyAlignment="1">
      <x:alignment horizontal="center" vertical="center" wrapText="1"/>
    </x:xf>
    <x:xf numFmtId="0" fontId="36" fillId="0" borderId="1" xfId="0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 vertical="center"/>
    </x:xf>
    <x:xf numFmtId="176" fontId="1" fillId="0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/>
    </x:xf>
    <x:xf numFmtId="0" fontId="37" fillId="0" borderId="1" xfId="0" applyFont="1" applyFill="1" applyBorder="1" applyAlignment="1">
      <x:alignment horizontal="center"/>
    </x:xf>
    <x:xf numFmtId="176" fontId="38" fillId="0" borderId="1" xfId="0" applyNumberFormat="1" applyFont="1" applyFill="1" applyBorder="1" applyAlignment="1">
      <x:alignment horizontal="center"/>
    </x:xf>
    <x:xf numFmtId="177" fontId="28" fillId="0" borderId="1" xfId="0" applyNumberFormat="1" applyFont="1" applyFill="1" applyBorder="1" applyAlignment="1">
      <x:alignment horizontal="center"/>
    </x:xf>
    <x:xf numFmtId="0" fontId="35" fillId="3" borderId="1" xfId="0" applyNumberFormat="1" applyFont="1" applyFill="1" applyBorder="1" applyAlignment="1">
      <x:alignment horizontal="center"/>
    </x:xf>
    <x:xf numFmtId="0" fontId="35" fillId="8" borderId="1" xfId="0" applyNumberFormat="1" applyFont="1" applyFill="1" applyBorder="1" applyAlignment="1">
      <x:alignment horizontal="center"/>
    </x:xf>
    <x:xf numFmtId="0" fontId="35" fillId="0" borderId="1" xfId="0" applyNumberFormat="1" applyFont="1" applyFill="1" applyBorder="1" applyAlignment="1">
      <x:alignment horizontal="center"/>
    </x:xf>
    <x:xf numFmtId="0" fontId="26" fillId="4" borderId="1" xfId="0" applyNumberFormat="1" applyFont="1" applyFill="1" applyBorder="1" applyAlignment="1">
      <x:alignment horizontal="center"/>
    </x:xf>
    <x:xf numFmtId="0" fontId="23" fillId="0" borderId="1" xfId="0" applyFont="1" applyFill="1" applyBorder="1" applyAlignment="1">
      <x:alignment horizontal="center" vertical="center"/>
    </x:xf>
    <x:xf numFmtId="0" fontId="9" fillId="0" borderId="1" xfId="0" applyFont="1" applyFill="1" applyBorder="1" applyAlignment="1">
      <x:alignment horizontal="center" vertical="center"/>
    </x:xf>
    <x:xf numFmtId="0" fontId="25" fillId="0" borderId="1" xfId="0" applyFont="1" applyFill="1" applyBorder="1" applyAlignment="1">
      <x:alignment horizontal="center" vertical="center" wrapText="1"/>
    </x:xf>
    <x:xf numFmtId="0" fontId="25" fillId="0" borderId="1" xfId="0" applyFont="1" applyFill="1" applyBorder="1" applyAlignment="1">
      <x:alignment horizontal="center" vertical="center"/>
    </x:xf>
    <x:xf numFmtId="0" fontId="25" fillId="4" borderId="1" xfId="0" applyFont="1" applyFill="1" applyBorder="1" applyAlignment="1">
      <x:alignment horizontal="center" vertical="center"/>
    </x:xf>
    <x:xf numFmtId="0" fontId="21" fillId="0" borderId="1" xfId="0" applyFont="1" applyFill="1" applyBorder="1" applyAlignment="1">
      <x:alignment horizontal="center" vertical="center"/>
    </x:xf>
    <x:xf numFmtId="0" fontId="27" fillId="0" borderId="1" xfId="0" applyFont="1" applyFill="1" applyBorder="1" applyAlignment="1">
      <x:alignment horizontal="center" vertical="center"/>
    </x:xf>
    <x:xf numFmtId="0" fontId="23" fillId="0" borderId="0" xfId="0" applyFont="1" applyFill="1" applyAlignment="1">
      <x:alignment vertical="center"/>
    </x:xf>
    <x:xf numFmtId="0" fontId="23" fillId="0" borderId="0" xfId="0" applyFont="1" applyFill="1" applyAlignment="1">
      <x:alignment horizontal="center" vertical="center"/>
    </x:xf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常规_永兴6月份销售明细" xfId="49"/>
  </x:cellStyles>
  <x:dxfs count="17"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</x:dxf>
    <x:dxf>
      <x:font>
        <x:b val="1"/>
        <x:color theme="1"/>
      </x:font>
    </x:dxf>
    <x:dxf>
      <x:font>
        <x:b val="1"/>
        <x:color theme="1"/>
      </x:font>
      <x:border>
        <x:top style="double">
          <x:color theme="4"/>
        </x:top>
      </x:border>
    </x:dxf>
    <x:dxf>
      <x:font>
        <x:b val="1"/>
        <x:color theme="0"/>
      </x:font>
      <x:fill>
        <x:patternFill patternType="solid">
          <x:fgColor theme="4"/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  <x:horizontal style="thin">
          <x:color theme="4" tint="0.399975585192419"/>
        </x:horizontal>
      </x:border>
    </x:dxf>
    <x:dxf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b val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75585192419"/>
        </x:bottom>
      </x:border>
    </x:dxf>
    <x:dxf>
      <x:font>
        <x:b val="1"/>
        <x:color theme="1"/>
      </x:font>
    </x:dxf>
    <x:dxf>
      <x:font>
        <x:b val="1"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 patternType="solid">
          <x:fgColor theme="4" tint="0.799981688894314"/>
          <x:bgColor theme="4" tint="0.799981688894314"/>
        </x:patternFill>
      </x:fill>
    </x:dxf>
    <x:dxf>
      <x:fill>
        <x:patternFill patternType="solid">
          <x:fgColor theme="4" tint="0.799981688894314"/>
          <x:bgColor theme="4" tint="0.799981688894314"/>
        </x:patternFill>
      </x:fill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top style="thin">
          <x:color theme="4" tint="0.399975585192419"/>
        </x:top>
        <x:bottom style="thin">
          <x:color theme="4" tint="0.399975585192419"/>
        </x:bottom>
      </x:border>
    </x:dxf>
    <x:dxf>
      <x:font>
        <x:b val="1"/>
        <x:color theme="1"/>
      </x:font>
      <x:fill>
        <x:patternFill patternType="solid">
          <x:fgColor theme="4" tint="0.799981688894314"/>
          <x:bgColor theme="4" tint="0.799981688894314"/>
        </x:patternFill>
      </x:fill>
      <x:border>
        <x:bottom style="thin">
          <x:color theme="4" tint="0.399975585192419"/>
        </x:bottom>
      </x:border>
    </x:dxf>
  </x:dxf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colors>
    <x:mruColors>
      <x:color rgb="00FF0000"/>
    </x:mruColors>
  </x:color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K81"/>
  <x:sheetViews>
    <x:sheetView workbookViewId="0">
      <x:selection activeCell="B6" sqref="B6"/>
    </x:sheetView>
  </x:sheetViews>
  <x:sheetFormatPr defaultColWidth="14" defaultRowHeight="31" customHeight="1"/>
  <x:cols>
    <x:col min="1" max="3" width="14" style="107" customWidth="1"/>
    <x:col min="4" max="4" width="14" style="107" hidden="1" customWidth="1"/>
    <x:col min="5" max="5" width="14" style="108" hidden="1" customWidth="1"/>
    <x:col min="6" max="6" width="14" style="107" hidden="1" customWidth="1"/>
    <x:col min="7" max="16384" width="14" style="107" customWidth="1"/>
  </x:cols>
  <x:sheetData>
    <x:row r="1" spans="1:11" ht="36" customHeight="1">
      <x:c r="A1" s="109" t="s">
        <x:v>0</x:v>
      </x:c>
      <x:c r="B1" s="109"/>
      <x:c r="C1" s="109"/>
      <x:c r="D1" s="109"/>
      <x:c r="E1" s="109"/>
      <x:c r="F1" s="109"/>
      <x:c r="G1" s="109"/>
      <x:c r="H1" s="109"/>
    </x:row>
    <x:row r="2" spans="1:11" customHeight="1">
      <x:c r="A2" s="110" t="s">
        <x:v>1</x:v>
      </x:c>
      <x:c r="B2" s="110" t="s">
        <x:v>2</x:v>
      </x:c>
      <x:c r="C2" s="110" t="s">
        <x:v>3</x:v>
      </x:c>
      <x:c r="D2" s="111" t="s">
        <x:v>4</x:v>
      </x:c>
      <x:c r="E2" s="112" t="s">
        <x:v>5</x:v>
      </x:c>
      <x:c r="F2" s="110" t="s">
        <x:v>6</x:v>
      </x:c>
      <x:c r="G2" s="113" t="s">
        <x:v>7</x:v>
      </x:c>
      <x:c r="H2" s="110" t="s">
        <x:v>8</x:v>
      </x:c>
    </x:row>
    <x:row r="3" spans="1:11" hidden="1" customHeight="1">
      <x:c r="A3" s="114" t="s">
        <x:v>9</x:v>
      </x:c>
      <x:c r="B3" s="115" t="s">
        <x:v>10</x:v>
      </x:c>
      <x:c r="C3" s="116"/>
      <x:c r="D3" s="117">
        <x:v>169.45</x:v>
      </x:c>
      <x:c r="E3" s="118"/>
      <x:c r="F3" s="119">
        <x:f>67.4+98.5+3.55</x:f>
        <x:v>169.45</x:v>
      </x:c>
      <x:c r="G3" s="120">
        <x:f t="shared" ref="G3:G37" si="0">D3+E3-F3</x:f>
        <x:v>0</x:v>
      </x:c>
      <x:c r="H3" s="121">
        <x:f>SUM(G3:G16)</x:f>
        <x:v>3851.98</x:v>
      </x:c>
    </x:row>
    <x:row r="4" spans="1:11" customHeight="1">
      <x:c r="A4" s="114"/>
      <x:c r="B4" s="122" t="s">
        <x:v>11</x:v>
      </x:c>
      <x:c r="C4" s="110"/>
      <x:c r="D4" s="123">
        <x:v>100.44</x:v>
      </x:c>
      <x:c r="E4" s="124"/>
      <x:c r="F4" s="125"/>
      <x:c r="G4" s="120">
        <x:f t="shared" si="0"/>
        <x:v>100.44</x:v>
      </x:c>
      <x:c r="H4" s="121"/>
      <x:c r="J4" s="126"/>
      <x:c r="K4" s="126"/>
    </x:row>
    <x:row r="5" spans="1:11" hidden="1" customHeight="1">
      <x:c r="A5" s="114"/>
      <x:c r="B5" s="127" t="s">
        <x:v>12</x:v>
      </x:c>
      <x:c r="C5" s="110"/>
      <x:c r="D5" s="123"/>
      <x:c r="E5" s="124">
        <x:f>79.77</x:f>
        <x:v>79.77</x:v>
      </x:c>
      <x:c r="F5" s="125">
        <x:f>59.2+20.4+0.17</x:f>
        <x:v>79.77</x:v>
      </x:c>
      <x:c r="G5" s="120">
        <x:f t="shared" si="0"/>
        <x:v>0</x:v>
      </x:c>
      <x:c r="H5" s="121"/>
      <x:c r="J5" s="126"/>
      <x:c r="K5" s="126"/>
    </x:row>
    <x:row r="6" spans="1:11" customHeight="1">
      <x:c r="A6" s="114"/>
      <x:c r="B6" s="128" t="s">
        <x:v>13</x:v>
      </x:c>
      <x:c r="C6" s="110"/>
      <x:c r="D6" s="123"/>
      <x:c r="E6" s="124">
        <x:f>196.24+376.25+26.37</x:f>
        <x:v>598.86</x:v>
      </x:c>
      <x:c r="F6" s="125"/>
      <x:c r="G6" s="120">
        <x:f t="shared" si="0"/>
        <x:v>598.86</x:v>
      </x:c>
      <x:c r="H6" s="121"/>
      <x:c r="J6" s="126"/>
      <x:c r="K6" s="126"/>
    </x:row>
    <x:row r="7" spans="1:11" customHeight="1">
      <x:c r="A7" s="114"/>
      <x:c r="B7" s="129" t="s">
        <x:v>14</x:v>
      </x:c>
      <x:c r="C7" s="130"/>
      <x:c r="D7" s="123">
        <x:v>180.21</x:v>
      </x:c>
      <x:c r="E7" s="124"/>
      <x:c r="F7" s="125"/>
      <x:c r="G7" s="120">
        <x:f t="shared" si="0"/>
        <x:v>180.21</x:v>
      </x:c>
      <x:c r="H7" s="121"/>
      <x:c r="J7" s="126"/>
      <x:c r="K7" s="126"/>
    </x:row>
    <x:row r="8" spans="1:11" customHeight="1">
      <x:c r="A8" s="114"/>
      <x:c r="B8" s="129" t="s">
        <x:v>15</x:v>
      </x:c>
      <x:c r="C8" s="130"/>
      <x:c r="D8" s="123"/>
      <x:c r="E8" s="124">
        <x:f>144.02+35.34</x:f>
        <x:v>179.36</x:v>
      </x:c>
      <x:c r="F8" s="125"/>
      <x:c r="G8" s="120">
        <x:f t="shared" si="0"/>
        <x:v>179.36</x:v>
      </x:c>
      <x:c r="H8" s="121"/>
      <x:c r="J8" s="126"/>
      <x:c r="K8" s="126"/>
    </x:row>
    <x:row r="9" spans="1:11" customHeight="1">
      <x:c r="A9" s="114"/>
      <x:c r="B9" s="131" t="s">
        <x:v>16</x:v>
      </x:c>
      <x:c r="C9" s="110"/>
      <x:c r="D9" s="123">
        <x:f>696.85+161.44</x:f>
        <x:v>858.29</x:v>
      </x:c>
      <x:c r="E9" s="124">
        <x:f>231.07+135.62+133.87+187.03+165.19+33.69+100.14+303.86+305.27+166.06</x:f>
        <x:v>1761.8</x:v>
      </x:c>
      <x:c r="F9" s="125">
        <x:f>83.7+98.6+98.6+57.7+140+95.6+102.9+108.7+109.6+105.4+52</x:f>
        <x:v>1052.8</x:v>
      </x:c>
      <x:c r="G9" s="120">
        <x:f t="shared" si="0"/>
        <x:v>1567.29</x:v>
      </x:c>
      <x:c r="H9" s="121"/>
      <x:c r="J9" s="126"/>
      <x:c r="K9" s="126"/>
    </x:row>
    <x:row r="10" spans="1:11" hidden="1" customHeight="1">
      <x:c r="A10" s="114"/>
      <x:c r="B10" s="131" t="s">
        <x:v>17</x:v>
      </x:c>
      <x:c r="C10" s="110"/>
      <x:c r="D10" s="123">
        <x:f>327.18-161.44</x:f>
        <x:v>165.74</x:v>
      </x:c>
      <x:c r="E10" s="124"/>
      <x:c r="F10" s="125">
        <x:f>44.7+111.7+4+4.8+0.54</x:f>
        <x:v>165.74</x:v>
      </x:c>
      <x:c r="G10" s="120">
        <x:f t="shared" si="0"/>
        <x:v>0</x:v>
      </x:c>
      <x:c r="H10" s="121"/>
      <x:c r="J10" s="126"/>
      <x:c r="K10" s="126"/>
    </x:row>
    <x:row r="11" spans="1:11" customHeight="1">
      <x:c r="A11" s="114"/>
      <x:c r="B11" s="131" t="s">
        <x:v>18</x:v>
      </x:c>
      <x:c r="C11" s="110"/>
      <x:c r="D11" s="123">
        <x:v>182.91</x:v>
      </x:c>
      <x:c r="E11" s="124"/>
      <x:c r="F11" s="125">
        <x:f>12</x:f>
        <x:v>12</x:v>
      </x:c>
      <x:c r="G11" s="120">
        <x:f t="shared" si="0"/>
        <x:v>170.91</x:v>
      </x:c>
      <x:c r="H11" s="121"/>
      <x:c r="J11" s="126"/>
      <x:c r="K11" s="126"/>
    </x:row>
    <x:row r="12" spans="1:11" customHeight="1">
      <x:c r="A12" s="114"/>
      <x:c r="B12" s="131" t="s">
        <x:v>19</x:v>
      </x:c>
      <x:c r="C12" s="110"/>
      <x:c r="D12" s="123">
        <x:v>723.04</x:v>
      </x:c>
      <x:c r="E12" s="124"/>
      <x:c r="F12" s="125">
        <x:f>129.6</x:f>
        <x:v>129.6</x:v>
      </x:c>
      <x:c r="G12" s="120">
        <x:f t="shared" si="0"/>
        <x:v>593.44</x:v>
      </x:c>
      <x:c r="H12" s="121"/>
      <x:c r="J12" s="126"/>
      <x:c r="K12" s="126"/>
    </x:row>
    <x:row r="13" spans="1:11" customHeight="1">
      <x:c r="A13" s="114"/>
      <x:c r="B13" s="132" t="s">
        <x:v>20</x:v>
      </x:c>
      <x:c r="C13" s="110"/>
      <x:c r="D13" s="123">
        <x:v>123.21</x:v>
      </x:c>
      <x:c r="E13" s="124"/>
      <x:c r="F13" s="125"/>
      <x:c r="G13" s="120">
        <x:f t="shared" si="0"/>
        <x:v>123.21</x:v>
      </x:c>
      <x:c r="H13" s="121"/>
      <x:c r="J13" s="126"/>
      <x:c r="K13" s="126"/>
    </x:row>
    <x:row r="14" spans="1:11" customHeight="1">
      <x:c r="A14" s="114"/>
      <x:c r="B14" s="132" t="s">
        <x:v>21</x:v>
      </x:c>
      <x:c r="C14" s="110"/>
      <x:c r="D14" s="123">
        <x:v>95.32</x:v>
      </x:c>
      <x:c r="E14" s="124"/>
      <x:c r="F14" s="125"/>
      <x:c r="G14" s="120">
        <x:f t="shared" si="0"/>
        <x:v>95.32</x:v>
      </x:c>
      <x:c r="H14" s="121"/>
      <x:c r="J14" s="126"/>
      <x:c r="K14" s="126"/>
    </x:row>
    <x:row r="15" spans="1:11" hidden="1" customHeight="1">
      <x:c r="A15" s="114"/>
      <x:c r="B15" s="132" t="s">
        <x:v>22</x:v>
      </x:c>
      <x:c r="C15" s="110"/>
      <x:c r="D15" s="123">
        <x:v>33.33</x:v>
      </x:c>
      <x:c r="E15" s="124"/>
      <x:c r="F15" s="125">
        <x:f>4.7+27.6+1.03</x:f>
        <x:v>33.33</x:v>
      </x:c>
      <x:c r="G15" s="120">
        <x:f t="shared" si="0"/>
        <x:v>0</x:v>
      </x:c>
      <x:c r="H15" s="121"/>
      <x:c r="J15" s="126"/>
      <x:c r="K15" s="126"/>
    </x:row>
    <x:row r="16" spans="1:11" customHeight="1">
      <x:c r="A16" s="114"/>
      <x:c r="B16" s="132" t="s">
        <x:v>23</x:v>
      </x:c>
      <x:c r="C16" s="110"/>
      <x:c r="D16" s="123">
        <x:v>368.24</x:v>
      </x:c>
      <x:c r="E16" s="124"/>
      <x:c r="F16" s="125">
        <x:f>125.3</x:f>
        <x:v>125.3</x:v>
      </x:c>
      <x:c r="G16" s="120">
        <x:f t="shared" si="0"/>
        <x:v>242.94</x:v>
      </x:c>
      <x:c r="H16" s="121"/>
      <x:c r="J16" s="126"/>
      <x:c r="K16" s="126"/>
    </x:row>
    <x:row r="17" spans="1:11" hidden="1" customHeight="1">
      <x:c r="A17" s="114" t="s">
        <x:v>24</x:v>
      </x:c>
      <x:c r="B17" s="122" t="s">
        <x:v>25</x:v>
      </x:c>
      <x:c r="C17" s="110" t="s">
        <x:v>26</x:v>
      </x:c>
      <x:c r="D17" s="123">
        <x:v>62.58</x:v>
      </x:c>
      <x:c r="E17" s="124">
        <x:v>6.9</x:v>
      </x:c>
      <x:c r="F17" s="125">
        <x:f>70.48-1</x:f>
        <x:v>69.48</x:v>
      </x:c>
      <x:c r="G17" s="120">
        <x:f t="shared" si="0"/>
        <x:v>0</x:v>
      </x:c>
      <x:c r="H17" s="121">
        <x:f>SUM(G17:G27)</x:f>
        <x:v>324.53</x:v>
      </x:c>
      <x:c r="J17" s="126"/>
      <x:c r="K17" s="126"/>
    </x:row>
    <x:row r="18" spans="1:11" customHeight="1">
      <x:c r="A18" s="114"/>
      <x:c r="B18" s="131" t="s">
        <x:v>16</x:v>
      </x:c>
      <x:c r="C18" s="133" t="s">
        <x:v>26</x:v>
      </x:c>
      <x:c r="D18" s="123">
        <x:v>59.1</x:v>
      </x:c>
      <x:c r="E18" s="124">
        <x:f>83.7+98.6+98.6+57.7+140+95.6+102.9+108.7+109.6+105.4+52</x:f>
        <x:v>1052.8</x:v>
      </x:c>
      <x:c r="F18" s="125">
        <x:f>110.88+35.69+110.86+89.7+102.41+107.62+109.05+107.07-10+106.56+102.81-3+101.38</x:f>
        <x:v>1071.03</x:v>
      </x:c>
      <x:c r="G18" s="120">
        <x:f t="shared" si="0"/>
        <x:v>40.8700000000001</x:v>
      </x:c>
      <x:c r="H18" s="121"/>
      <x:c r="J18" s="126"/>
      <x:c r="K18" s="126"/>
    </x:row>
    <x:row r="19" spans="1:11" hidden="1" customHeight="1">
      <x:c r="A19" s="114"/>
      <x:c r="B19" s="131" t="s">
        <x:v>17</x:v>
      </x:c>
      <x:c r="C19" s="133" t="s">
        <x:v>27</x:v>
      </x:c>
      <x:c r="D19" s="123">
        <x:v>57.05</x:v>
      </x:c>
      <x:c r="E19" s="124">
        <x:f>44.7+111.7+4.8</x:f>
        <x:v>161.2</x:v>
      </x:c>
      <x:c r="F19" s="125">
        <x:f>78.12+107.1+28.86+4.17</x:f>
        <x:v>218.25</x:v>
      </x:c>
      <x:c r="G19" s="120">
        <x:f t="shared" si="0"/>
        <x:v>0</x:v>
      </x:c>
      <x:c r="H19" s="121"/>
      <x:c r="J19" s="126"/>
      <x:c r="K19" s="126"/>
    </x:row>
    <x:row r="20" spans="1:11" hidden="1" customHeight="1">
      <x:c r="A20" s="114"/>
      <x:c r="B20" s="122" t="s">
        <x:v>10</x:v>
      </x:c>
      <x:c r="C20" s="134" t="s">
        <x:v>27</x:v>
      </x:c>
      <x:c r="D20" s="123"/>
      <x:c r="E20" s="124">
        <x:f>67.4+98.5+5.8</x:f>
        <x:v>171.7</x:v>
      </x:c>
      <x:c r="F20" s="125">
        <x:f>33.03+36.03+24.87+61.94+16.61-0.78</x:f>
        <x:v>171.7</x:v>
      </x:c>
      <x:c r="G20" s="120">
        <x:f t="shared" si="0"/>
        <x:v>0</x:v>
      </x:c>
      <x:c r="H20" s="121"/>
      <x:c r="J20" s="126"/>
      <x:c r="K20" s="126"/>
    </x:row>
    <x:row r="21" spans="1:11" hidden="1" customHeight="1">
      <x:c r="A21" s="114"/>
      <x:c r="B21" s="127" t="s">
        <x:v>12</x:v>
      </x:c>
      <x:c r="C21" s="135" t="s">
        <x:v>27</x:v>
      </x:c>
      <x:c r="D21" s="123"/>
      <x:c r="E21" s="124">
        <x:f>59.2+20.4</x:f>
        <x:v>79.6</x:v>
      </x:c>
      <x:c r="F21" s="125">
        <x:f>35.32+44.17+0.11</x:f>
        <x:v>79.6</x:v>
      </x:c>
      <x:c r="G21" s="120">
        <x:f t="shared" si="0"/>
        <x:v>0</x:v>
      </x:c>
      <x:c r="H21" s="121"/>
      <x:c r="J21" s="126"/>
      <x:c r="K21" s="126"/>
    </x:row>
    <x:row r="22" spans="1:11" hidden="1" customHeight="1">
      <x:c r="A22" s="114"/>
      <x:c r="B22" s="132" t="s">
        <x:v>22</x:v>
      </x:c>
      <x:c r="C22" s="136" t="s">
        <x:v>27</x:v>
      </x:c>
      <x:c r="D22" s="123"/>
      <x:c r="E22" s="124">
        <x:f>4.7+27.6</x:f>
        <x:v>32.3</x:v>
      </x:c>
      <x:c r="F22" s="125">
        <x:f>19.97+16.49-4.16</x:f>
        <x:v>32.3</x:v>
      </x:c>
      <x:c r="G22" s="120">
        <x:f t="shared" si="0"/>
        <x:v>0</x:v>
      </x:c>
      <x:c r="H22" s="121"/>
      <x:c r="J22" s="126"/>
      <x:c r="K22" s="126"/>
    </x:row>
    <x:row r="23" spans="1:11" customHeight="1">
      <x:c r="A23" s="114"/>
      <x:c r="B23" s="122" t="s">
        <x:v>28</x:v>
      </x:c>
      <x:c r="C23" s="134" t="s">
        <x:v>29</x:v>
      </x:c>
      <x:c r="D23" s="123">
        <x:v>92</x:v>
      </x:c>
      <x:c r="E23" s="124"/>
      <x:c r="F23" s="125"/>
      <x:c r="G23" s="120">
        <x:f t="shared" si="0"/>
        <x:v>92</x:v>
      </x:c>
      <x:c r="H23" s="121"/>
      <x:c r="J23" s="126"/>
      <x:c r="K23" s="126"/>
    </x:row>
    <x:row r="24" spans="1:11" customHeight="1">
      <x:c r="A24" s="114"/>
      <x:c r="B24" s="131" t="s">
        <x:v>19</x:v>
      </x:c>
      <x:c r="C24" s="133" t="s">
        <x:v>30</x:v>
      </x:c>
      <x:c r="D24" s="123"/>
      <x:c r="E24" s="124">
        <x:f>129.6</x:f>
        <x:v>129.6</x:v>
      </x:c>
      <x:c r="F24" s="125"/>
      <x:c r="G24" s="120">
        <x:f t="shared" si="0"/>
        <x:v>129.6</x:v>
      </x:c>
      <x:c r="H24" s="121"/>
      <x:c r="J24" s="126"/>
      <x:c r="K24" s="126"/>
    </x:row>
    <x:row r="25" spans="1:11" customHeight="1">
      <x:c r="A25" s="114"/>
      <x:c r="B25" s="132" t="s">
        <x:v>23</x:v>
      </x:c>
      <x:c r="C25" s="136" t="s">
        <x:v>30</x:v>
      </x:c>
      <x:c r="D25" s="123">
        <x:v>62.5</x:v>
      </x:c>
      <x:c r="E25" s="124">
        <x:f>125.3</x:f>
        <x:v>125.3</x:v>
      </x:c>
      <x:c r="F25" s="125">
        <x:f>20.33+30.27+75.14</x:f>
        <x:v>125.74</x:v>
      </x:c>
      <x:c r="G25" s="120">
        <x:f t="shared" si="0"/>
        <x:v>62.06</x:v>
      </x:c>
      <x:c r="H25" s="121"/>
      <x:c r="J25" s="126"/>
      <x:c r="K25" s="126"/>
    </x:row>
    <x:row r="26" spans="1:11" hidden="1" customHeight="1">
      <x:c r="A26" s="114"/>
      <x:c r="B26" s="137" t="s">
        <x:v>31</x:v>
      </x:c>
      <x:c r="C26" s="138" t="s">
        <x:v>32</x:v>
      </x:c>
      <x:c r="D26" s="123">
        <x:v>67.3</x:v>
      </x:c>
      <x:c r="E26" s="124"/>
      <x:c r="F26" s="125">
        <x:f>38.02+19.63+9.65</x:f>
        <x:v>67.3</x:v>
      </x:c>
      <x:c r="G26" s="120">
        <x:f t="shared" si="0"/>
        <x:v>0</x:v>
      </x:c>
      <x:c r="H26" s="121"/>
    </x:row>
    <x:row r="27" spans="1:11" hidden="1" customHeight="1">
      <x:c r="A27" s="114"/>
      <x:c r="B27" s="122" t="s">
        <x:v>33</x:v>
      </x:c>
      <x:c r="C27" s="110" t="s">
        <x:v>34</x:v>
      </x:c>
      <x:c r="D27" s="123">
        <x:v>71</x:v>
      </x:c>
      <x:c r="E27" s="124"/>
      <x:c r="F27" s="125">
        <x:f>25.14+34.32+11.54</x:f>
        <x:v>71</x:v>
      </x:c>
      <x:c r="G27" s="120">
        <x:f t="shared" si="0"/>
        <x:v>0</x:v>
      </x:c>
      <x:c r="H27" s="121"/>
    </x:row>
    <x:row r="28" spans="1:11" hidden="1" customHeight="1">
      <x:c r="A28" s="139" t="s">
        <x:v>35</x:v>
      </x:c>
      <x:c r="B28" s="122" t="s">
        <x:v>25</x:v>
      </x:c>
      <x:c r="C28" s="122" t="s">
        <x:v>36</x:v>
      </x:c>
      <x:c r="D28" s="140">
        <x:v>136.51</x:v>
      </x:c>
      <x:c r="E28" s="141">
        <x:f>68.37</x:f>
        <x:v>68.37</x:v>
      </x:c>
      <x:c r="F28" s="142">
        <x:f>106.55+98.33</x:f>
        <x:v>204.88</x:v>
      </x:c>
      <x:c r="G28" s="120">
        <x:f t="shared" si="0"/>
        <x:v>0</x:v>
      </x:c>
      <x:c r="H28" s="143">
        <x:f>SUM(G28:G44)</x:f>
        <x:v>978.15</x:v>
      </x:c>
    </x:row>
    <x:row r="29" spans="1:11" hidden="1" customHeight="1">
      <x:c r="A29" s="144"/>
      <x:c r="B29" s="145" t="s">
        <x:v>13</x:v>
      </x:c>
      <x:c r="C29" s="145" t="s">
        <x:v>36</x:v>
      </x:c>
      <x:c r="D29" s="140">
        <x:v>36.52</x:v>
      </x:c>
      <x:c r="E29" s="141"/>
      <x:c r="F29" s="142">
        <x:f>29.05+7.47</x:f>
        <x:v>36.52</x:v>
      </x:c>
      <x:c r="G29" s="120">
        <x:f t="shared" si="0"/>
        <x:v>0</x:v>
      </x:c>
      <x:c r="H29" s="146"/>
    </x:row>
    <x:row r="30" spans="1:11" customHeight="1">
      <x:c r="A30" s="144"/>
      <x:c r="B30" s="131" t="s">
        <x:v>16</x:v>
      </x:c>
      <x:c r="C30" s="131" t="s">
        <x:v>36</x:v>
      </x:c>
      <x:c r="D30" s="140">
        <x:v>61.04</x:v>
      </x:c>
      <x:c r="E30" s="141">
        <x:f>34.62+107.56+107.54+87.01+99.34+104.4+105.78+103.86+103.37+99.73-3+98.34</x:f>
        <x:v>1048.55</x:v>
      </x:c>
      <x:c r="F30" s="142">
        <x:f>40.96+12.92+24.37+8.07+77.5+13+77.5+77.5+77.5+77.5+7+87.18+158.22+80.72</x:f>
        <x:v>819.94</x:v>
      </x:c>
      <x:c r="G30" s="120">
        <x:f t="shared" si="0"/>
        <x:v>289.65</x:v>
      </x:c>
      <x:c r="H30" s="146"/>
    </x:row>
    <x:row r="31" spans="1:11" hidden="1" customHeight="1">
      <x:c r="A31" s="144"/>
      <x:c r="B31" s="131" t="s">
        <x:v>17</x:v>
      </x:c>
      <x:c r="C31" s="131" t="s">
        <x:v>37</x:v>
      </x:c>
      <x:c r="D31" s="140">
        <x:v>26.12</x:v>
      </x:c>
      <x:c r="E31" s="141">
        <x:f>75.78+103.89+28+24.13</x:f>
        <x:v>231.8</x:v>
      </x:c>
      <x:c r="F31" s="142">
        <x:f>26.38-0.26+8.24+82.48+82.48+21.44+13.19+22.39+1.58</x:f>
        <x:v>257.92</x:v>
      </x:c>
      <x:c r="G31" s="120">
        <x:f t="shared" si="0"/>
        <x:v>0</x:v>
      </x:c>
      <x:c r="H31" s="146"/>
    </x:row>
    <x:row r="32" spans="1:11" hidden="1" customHeight="1">
      <x:c r="A32" s="144"/>
      <x:c r="B32" s="122" t="s">
        <x:v>10</x:v>
      </x:c>
      <x:c r="C32" s="122" t="s">
        <x:v>37</x:v>
      </x:c>
      <x:c r="D32" s="140"/>
      <x:c r="E32" s="141">
        <x:f>32.04</x:f>
        <x:v>32.04</x:v>
      </x:c>
      <x:c r="F32" s="142">
        <x:f>32.04</x:f>
        <x:v>32.04</x:v>
      </x:c>
      <x:c r="G32" s="120">
        <x:f t="shared" si="0"/>
        <x:v>0</x:v>
      </x:c>
      <x:c r="H32" s="146"/>
    </x:row>
    <x:row r="33" spans="1:8" customHeight="1">
      <x:c r="A33" s="144"/>
      <x:c r="B33" s="122" t="s">
        <x:v>10</x:v>
      </x:c>
      <x:c r="C33" s="122" t="s">
        <x:v>38</x:v>
      </x:c>
      <x:c r="D33" s="140"/>
      <x:c r="E33" s="141">
        <x:f>34.95+60.09+16.61</x:f>
        <x:v>111.65</x:v>
      </x:c>
      <x:c r="F33" s="142">
        <x:f>51.58</x:f>
        <x:v>51.58</x:v>
      </x:c>
      <x:c r="G33" s="120">
        <x:f t="shared" si="0"/>
        <x:v>60.07</x:v>
      </x:c>
      <x:c r="H33" s="146"/>
    </x:row>
    <x:row r="34" spans="1:8" customHeight="1">
      <x:c r="A34" s="144"/>
      <x:c r="B34" s="127" t="s">
        <x:v>12</x:v>
      </x:c>
      <x:c r="C34" s="127" t="s">
        <x:v>37</x:v>
      </x:c>
      <x:c r="D34" s="140"/>
      <x:c r="E34" s="141">
        <x:f>34.27</x:f>
        <x:v>34.27</x:v>
      </x:c>
      <x:c r="F34" s="142"/>
      <x:c r="G34" s="120">
        <x:f t="shared" si="0"/>
        <x:v>34.27</x:v>
      </x:c>
      <x:c r="H34" s="146"/>
    </x:row>
    <x:row r="35" spans="1:8" customHeight="1">
      <x:c r="A35" s="144"/>
      <x:c r="B35" s="127" t="s">
        <x:v>12</x:v>
      </x:c>
      <x:c r="C35" s="127" t="s">
        <x:v>38</x:v>
      </x:c>
      <x:c r="D35" s="140"/>
      <x:c r="E35" s="141">
        <x:v>42.85</x:v>
      </x:c>
      <x:c r="F35" s="142"/>
      <x:c r="G35" s="120">
        <x:f t="shared" si="0"/>
        <x:v>42.85</x:v>
      </x:c>
      <x:c r="H35" s="146"/>
    </x:row>
    <x:row r="36" spans="1:8" customHeight="1">
      <x:c r="A36" s="144"/>
      <x:c r="B36" s="132" t="s">
        <x:v>22</x:v>
      </x:c>
      <x:c r="C36" s="132" t="s">
        <x:v>37</x:v>
      </x:c>
      <x:c r="D36" s="140"/>
      <x:c r="E36" s="141">
        <x:f>16.49</x:f>
        <x:v>16.49</x:v>
      </x:c>
      <x:c r="F36" s="142">
        <x:f>11.54</x:f>
        <x:v>11.54</x:v>
      </x:c>
      <x:c r="G36" s="120">
        <x:f t="shared" si="0"/>
        <x:v>4.95</x:v>
      </x:c>
      <x:c r="H36" s="146"/>
    </x:row>
    <x:row r="37" spans="1:8" customHeight="1">
      <x:c r="A37" s="144"/>
      <x:c r="B37" s="132" t="s">
        <x:v>22</x:v>
      </x:c>
      <x:c r="C37" s="132" t="s">
        <x:v>38</x:v>
      </x:c>
      <x:c r="D37" s="140"/>
      <x:c r="E37" s="141">
        <x:v>19.97</x:v>
      </x:c>
      <x:c r="F37" s="142"/>
      <x:c r="G37" s="120">
        <x:f t="shared" si="0"/>
        <x:v>19.97</x:v>
      </x:c>
      <x:c r="H37" s="146"/>
    </x:row>
    <x:row r="38" spans="1:8" customHeight="1">
      <x:c r="A38" s="144"/>
      <x:c r="B38" s="131" t="s">
        <x:v>18</x:v>
      </x:c>
      <x:c r="C38" s="131" t="s">
        <x:v>39</x:v>
      </x:c>
      <x:c r="D38" s="140">
        <x:v>198.12</x:v>
      </x:c>
      <x:c r="E38" s="141"/>
      <x:c r="F38" s="142"/>
      <x:c r="G38" s="120">
        <x:f t="shared" ref="G38:G59" si="1">D38+E38-F38</x:f>
        <x:v>198.12</x:v>
      </x:c>
      <x:c r="H38" s="146"/>
    </x:row>
    <x:row r="39" spans="1:8" hidden="1" customHeight="1">
      <x:c r="A39" s="144"/>
      <x:c r="B39" s="131" t="s">
        <x:v>18</x:v>
      </x:c>
      <x:c r="C39" s="131" t="s">
        <x:v>40</x:v>
      </x:c>
      <x:c r="D39" s="140">
        <x:v>83.26</x:v>
      </x:c>
      <x:c r="E39" s="141"/>
      <x:c r="F39" s="142">
        <x:f>27.7+55.4+0.16</x:f>
        <x:v>83.26</x:v>
      </x:c>
      <x:c r="G39" s="120">
        <x:f t="shared" si="1"/>
        <x:v>0</x:v>
      </x:c>
      <x:c r="H39" s="146"/>
    </x:row>
    <x:row r="40" spans="1:8" customHeight="1">
      <x:c r="A40" s="144"/>
      <x:c r="B40" s="131" t="s">
        <x:v>18</x:v>
      </x:c>
      <x:c r="C40" s="131" t="s">
        <x:v>41</x:v>
      </x:c>
      <x:c r="D40" s="140">
        <x:v>54.01</x:v>
      </x:c>
      <x:c r="E40" s="141"/>
      <x:c r="F40" s="142"/>
      <x:c r="G40" s="120">
        <x:f t="shared" si="1"/>
        <x:v>54.01</x:v>
      </x:c>
      <x:c r="H40" s="146"/>
    </x:row>
    <x:row r="41" spans="1:8" customHeight="1">
      <x:c r="A41" s="144"/>
      <x:c r="B41" s="132" t="s">
        <x:v>23</x:v>
      </x:c>
      <x:c r="C41" s="132" t="s">
        <x:v>42</x:v>
      </x:c>
      <x:c r="D41" s="140">
        <x:v>188.8</x:v>
      </x:c>
      <x:c r="E41" s="141">
        <x:f>19.72+30.27+72.89</x:f>
        <x:v>122.88</x:v>
      </x:c>
      <x:c r="F41" s="142">
        <x:f>52.32+38.82+16.87+77.62+32.06</x:f>
        <x:v>217.69</x:v>
      </x:c>
      <x:c r="G41" s="120">
        <x:f t="shared" si="1"/>
        <x:v>93.99</x:v>
      </x:c>
      <x:c r="H41" s="146"/>
    </x:row>
    <x:row r="42" spans="1:8" customHeight="1">
      <x:c r="A42" s="144"/>
      <x:c r="B42" s="122" t="s">
        <x:v>11</x:v>
      </x:c>
      <x:c r="C42" s="122" t="s">
        <x:v>42</x:v>
      </x:c>
      <x:c r="D42" s="140">
        <x:v>85.87</x:v>
      </x:c>
      <x:c r="E42" s="141"/>
      <x:c r="F42" s="142"/>
      <x:c r="G42" s="120">
        <x:f t="shared" si="1"/>
        <x:v>85.87</x:v>
      </x:c>
      <x:c r="H42" s="146"/>
    </x:row>
    <x:row r="43" spans="1:8" customHeight="1">
      <x:c r="A43" s="144"/>
      <x:c r="B43" s="137" t="s">
        <x:v>31</x:v>
      </x:c>
      <x:c r="C43" s="137" t="s">
        <x:v>43</x:v>
      </x:c>
      <x:c r="D43" s="140"/>
      <x:c r="E43" s="141">
        <x:f>36.88+19.04+6.24</x:f>
        <x:v>62.16</x:v>
      </x:c>
      <x:c r="F43" s="142">
        <x:f>37.88-1</x:f>
        <x:v>36.88</x:v>
      </x:c>
      <x:c r="G43" s="120">
        <x:f t="shared" si="1"/>
        <x:v>25.28</x:v>
      </x:c>
      <x:c r="H43" s="146"/>
    </x:row>
    <x:row r="44" spans="1:8" customHeight="1">
      <x:c r="A44" s="147"/>
      <x:c r="B44" s="122" t="s">
        <x:v>33</x:v>
      </x:c>
      <x:c r="C44" s="122" t="s">
        <x:v>43</x:v>
      </x:c>
      <x:c r="D44" s="140"/>
      <x:c r="E44" s="141">
        <x:f>24.39+33.3+11.43</x:f>
        <x:v>69.12</x:v>
      </x:c>
      <x:c r="F44" s="142"/>
      <x:c r="G44" s="120">
        <x:f t="shared" si="1"/>
        <x:v>69.12</x:v>
      </x:c>
      <x:c r="H44" s="148"/>
    </x:row>
    <x:row r="45" spans="1:8" hidden="1" customHeight="1">
      <x:c r="A45" s="139" t="s">
        <x:v>44</x:v>
      </x:c>
      <x:c r="B45" s="149" t="s">
        <x:v>13</x:v>
      </x:c>
      <x:c r="C45" s="149" t="s">
        <x:v>36</x:v>
      </x:c>
      <x:c r="D45" s="140">
        <x:v>52.29</x:v>
      </x:c>
      <x:c r="E45" s="141">
        <x:f>29.05</x:f>
        <x:v>29.05</x:v>
      </x:c>
      <x:c r="F45" s="142">
        <x:f>70.9+10.44</x:f>
        <x:v>81.34</x:v>
      </x:c>
      <x:c r="G45" s="120">
        <x:f t="shared" si="1"/>
        <x:v>0</x:v>
      </x:c>
      <x:c r="H45" s="143">
        <x:f>SUM(G45:G55)</x:f>
        <x:v>113.09</x:v>
      </x:c>
    </x:row>
    <x:row r="46" spans="1:8" hidden="1" customHeight="1">
      <x:c r="A46" s="144"/>
      <x:c r="B46" s="122" t="s">
        <x:v>25</x:v>
      </x:c>
      <x:c r="C46" s="122" t="s">
        <x:v>36</x:v>
      </x:c>
      <x:c r="D46" s="140"/>
      <x:c r="E46" s="141">
        <x:f>106.55+122.7</x:f>
        <x:v>229.25</x:v>
      </x:c>
      <x:c r="F46" s="142">
        <x:f>70.16+129+30.09</x:f>
        <x:v>229.25</x:v>
      </x:c>
      <x:c r="G46" s="120">
        <x:f t="shared" si="1"/>
        <x:v>0</x:v>
      </x:c>
      <x:c r="H46" s="146"/>
    </x:row>
    <x:row r="47" spans="1:8" customHeight="1">
      <x:c r="A47" s="144"/>
      <x:c r="B47" s="131" t="s">
        <x:v>16</x:v>
      </x:c>
      <x:c r="C47" s="131" t="s">
        <x:v>36</x:v>
      </x:c>
      <x:c r="D47" s="140"/>
      <x:c r="E47" s="141">
        <x:f>48.43+12.92+8.07+77.5-5+77.5+77.5+77.5+77.5+87.18+158.22+80.72</x:f>
        <x:v>778.04</x:v>
      </x:c>
      <x:c r="F47" s="142">
        <x:f>86.01+85.4+64.5+82.2+77.4+77.3+111.3+140.3</x:f>
        <x:v>724.41</x:v>
      </x:c>
      <x:c r="G47" s="120">
        <x:f t="shared" si="1"/>
        <x:v>53.63</x:v>
      </x:c>
      <x:c r="H47" s="146"/>
    </x:row>
    <x:row r="48" spans="1:8" customHeight="1">
      <x:c r="A48" s="144"/>
      <x:c r="B48" s="131" t="s">
        <x:v>17</x:v>
      </x:c>
      <x:c r="C48" s="131" t="s">
        <x:v>37</x:v>
      </x:c>
      <x:c r="D48" s="140">
        <x:v>34.86</x:v>
      </x:c>
      <x:c r="E48" s="141">
        <x:f>26.38+8.24+82.48+82.48+21.44+13.19</x:f>
        <x:v>234.21</x:v>
      </x:c>
      <x:c r="F48" s="142">
        <x:f>60.9+0.34+14.8+90.6+82.4+6.84</x:f>
        <x:v>255.88</x:v>
      </x:c>
      <x:c r="G48" s="120">
        <x:f t="shared" si="1"/>
        <x:v>13.19</x:v>
      </x:c>
      <x:c r="H48" s="146"/>
    </x:row>
    <x:row r="49" spans="1:8" hidden="1" customHeight="1">
      <x:c r="A49" s="144"/>
      <x:c r="B49" s="131" t="s">
        <x:v>17</x:v>
      </x:c>
      <x:c r="C49" s="131" t="s">
        <x:v>45</x:v>
      </x:c>
      <x:c r="D49" s="140">
        <x:v>22.95</x:v>
      </x:c>
      <x:c r="E49" s="141"/>
      <x:c r="F49" s="142">
        <x:f>22.9+0.05</x:f>
        <x:v>22.95</x:v>
      </x:c>
      <x:c r="G49" s="120">
        <x:f t="shared" si="1"/>
        <x:v>0</x:v>
      </x:c>
      <x:c r="H49" s="146"/>
    </x:row>
    <x:row r="50" spans="1:8" customHeight="1">
      <x:c r="A50" s="144"/>
      <x:c r="B50" s="122" t="s">
        <x:v>10</x:v>
      </x:c>
      <x:c r="C50" s="122" t="s">
        <x:v>37</x:v>
      </x:c>
      <x:c r="D50" s="140"/>
      <x:c r="E50" s="141">
        <x:f>54.43</x:f>
        <x:v>54.43</x:v>
      </x:c>
      <x:c r="F50" s="142">
        <x:f>19.7</x:f>
        <x:v>19.7</x:v>
      </x:c>
      <x:c r="G50" s="120">
        <x:f t="shared" si="1"/>
        <x:v>34.73</x:v>
      </x:c>
      <x:c r="H50" s="146"/>
    </x:row>
    <x:row r="51" spans="1:8" hidden="1" customHeight="1">
      <x:c r="A51" s="144"/>
      <x:c r="B51" s="122" t="s">
        <x:v>10</x:v>
      </x:c>
      <x:c r="C51" s="122" t="s">
        <x:v>38</x:v>
      </x:c>
      <x:c r="D51" s="140"/>
      <x:c r="E51" s="141">
        <x:f>51.58</x:f>
        <x:v>51.58</x:v>
      </x:c>
      <x:c r="F51" s="142">
        <x:f>51.6-0.02</x:f>
        <x:v>51.58</x:v>
      </x:c>
      <x:c r="G51" s="120">
        <x:f t="shared" si="1"/>
        <x:v>0</x:v>
      </x:c>
      <x:c r="H51" s="146"/>
    </x:row>
    <x:row r="52" spans="1:8" customHeight="1">
      <x:c r="A52" s="144"/>
      <x:c r="B52" s="132" t="s">
        <x:v>22</x:v>
      </x:c>
      <x:c r="C52" s="132" t="s">
        <x:v>37</x:v>
      </x:c>
      <x:c r="D52" s="140"/>
      <x:c r="E52" s="141">
        <x:f>11.54</x:f>
        <x:v>11.54</x:v>
      </x:c>
      <x:c r="F52" s="142"/>
      <x:c r="G52" s="120">
        <x:f t="shared" si="1"/>
        <x:v>11.54</x:v>
      </x:c>
      <x:c r="H52" s="146"/>
    </x:row>
    <x:row r="53" spans="1:8" hidden="1" customHeight="1">
      <x:c r="A53" s="144"/>
      <x:c r="B53" s="131" t="s">
        <x:v>18</x:v>
      </x:c>
      <x:c r="C53" s="131" t="s">
        <x:v>40</x:v>
      </x:c>
      <x:c r="D53" s="140"/>
      <x:c r="E53" s="141">
        <x:f>27.7+55.4</x:f>
        <x:v>83.1</x:v>
      </x:c>
      <x:c r="F53" s="142">
        <x:f>42.6+40.3+0.2</x:f>
        <x:v>83.1</x:v>
      </x:c>
      <x:c r="G53" s="120">
        <x:f t="shared" si="1"/>
        <x:v>0</x:v>
      </x:c>
      <x:c r="H53" s="146"/>
    </x:row>
    <x:row r="54" spans="1:8" hidden="1" customHeight="1">
      <x:c r="A54" s="144"/>
      <x:c r="B54" s="132" t="s">
        <x:v>23</x:v>
      </x:c>
      <x:c r="C54" s="132" t="s">
        <x:v>42</x:v>
      </x:c>
      <x:c r="D54" s="140">
        <x:v>2.77</x:v>
      </x:c>
      <x:c r="E54" s="141">
        <x:f>52.32+38.82+16.87+77.62+32.06</x:f>
        <x:v>217.69</x:v>
      </x:c>
      <x:c r="F54" s="142">
        <x:f>87.6+5+1.31+47.2+62.4+16.8+0.15</x:f>
        <x:v>220.46</x:v>
      </x:c>
      <x:c r="G54" s="120">
        <x:f t="shared" si="1"/>
        <x:v>0</x:v>
      </x:c>
      <x:c r="H54" s="146"/>
    </x:row>
    <x:row r="55" spans="1:8" hidden="1" customHeight="1">
      <x:c r="A55" s="144"/>
      <x:c r="B55" s="138" t="s">
        <x:v>31</x:v>
      </x:c>
      <x:c r="C55" s="138" t="s">
        <x:v>43</x:v>
      </x:c>
      <x:c r="D55" s="123"/>
      <x:c r="E55" s="124">
        <x:f>37.88</x:f>
        <x:v>37.88</x:v>
      </x:c>
      <x:c r="F55" s="125">
        <x:f>38.2-0.32</x:f>
        <x:v>37.88</x:v>
      </x:c>
      <x:c r="G55" s="120">
        <x:f t="shared" si="1"/>
        <x:v>0</x:v>
      </x:c>
      <x:c r="H55" s="146"/>
    </x:row>
    <x:row r="56" spans="1:8" customHeight="1">
      <x:c r="A56" s="139" t="s">
        <x:v>46</x:v>
      </x:c>
      <x:c r="B56" s="134" t="s">
        <x:v>25</x:v>
      </x:c>
      <x:c r="C56" s="134" t="s">
        <x:v>36</x:v>
      </x:c>
      <x:c r="D56" s="123">
        <x:v>61.7</x:v>
      </x:c>
      <x:c r="E56" s="124">
        <x:f>70.9+80.6+129+116.1+85.4+64.5+82.2+77.4+77.3+111.3+140.3</x:f>
        <x:v>1035</x:v>
      </x:c>
      <x:c r="F56" s="125">
        <x:f>68.1+77.5+77.5+160+24.5+73.1+73.2+77.7+73.1+90.2+60.8+136.4</x:f>
        <x:v>992.1</x:v>
      </x:c>
      <x:c r="G56" s="120">
        <x:f t="shared" si="1"/>
        <x:v>104.6</x:v>
      </x:c>
      <x:c r="H56" s="143">
        <x:f>SUM(G56:G62)</x:f>
        <x:v>124.3</x:v>
      </x:c>
    </x:row>
    <x:row r="57" spans="1:8" customHeight="1">
      <x:c r="A57" s="144"/>
      <x:c r="B57" s="134" t="s">
        <x:v>10</x:v>
      </x:c>
      <x:c r="C57" s="134" t="s">
        <x:v>37</x:v>
      </x:c>
      <x:c r="D57" s="123">
        <x:v>42.3</x:v>
      </x:c>
      <x:c r="E57" s="124">
        <x:f>60.9+14.8+90.6+82.4+19.7</x:f>
        <x:v>268.4</x:v>
      </x:c>
      <x:c r="F57" s="125">
        <x:f>45+63.5-5.3+27.5+122.8+47.2-9.7</x:f>
        <x:v>291</x:v>
      </x:c>
      <x:c r="G57" s="120">
        <x:f t="shared" si="1"/>
        <x:v>19.7</x:v>
      </x:c>
      <x:c r="H57" s="146"/>
    </x:row>
    <x:row r="58" spans="1:8" hidden="1" customHeight="1">
      <x:c r="A58" s="144"/>
      <x:c r="B58" s="134" t="s">
        <x:v>10</x:v>
      </x:c>
      <x:c r="C58" s="134" t="s">
        <x:v>45</x:v>
      </x:c>
      <x:c r="D58" s="123">
        <x:v>22.9</x:v>
      </x:c>
      <x:c r="E58" s="124">
        <x:v>22.9</x:v>
      </x:c>
      <x:c r="F58" s="125">
        <x:f>46.4-0.6</x:f>
        <x:v>45.8</x:v>
      </x:c>
      <x:c r="G58" s="120">
        <x:f t="shared" si="1"/>
        <x:v>0</x:v>
      </x:c>
      <x:c r="H58" s="146"/>
    </x:row>
    <x:row r="59" spans="1:8" hidden="1" customHeight="1">
      <x:c r="A59" s="144"/>
      <x:c r="B59" s="134" t="s">
        <x:v>10</x:v>
      </x:c>
      <x:c r="C59" s="134" t="s">
        <x:v>38</x:v>
      </x:c>
      <x:c r="D59" s="123"/>
      <x:c r="E59" s="124">
        <x:f>51.6</x:f>
        <x:v>51.6</x:v>
      </x:c>
      <x:c r="F59" s="125">
        <x:f>26.6+25.2-0.2</x:f>
        <x:v>51.6</x:v>
      </x:c>
      <x:c r="G59" s="120">
        <x:f t="shared" si="1"/>
        <x:v>0</x:v>
      </x:c>
      <x:c r="H59" s="146"/>
    </x:row>
    <x:row r="60" spans="1:8" hidden="1" customHeight="1">
      <x:c r="A60" s="144"/>
      <x:c r="B60" s="134" t="s">
        <x:v>28</x:v>
      </x:c>
      <x:c r="C60" s="134" t="s">
        <x:v>40</x:v>
      </x:c>
      <x:c r="D60" s="123"/>
      <x:c r="E60" s="124">
        <x:f>42.6+40.3</x:f>
        <x:v>82.9</x:v>
      </x:c>
      <x:c r="F60" s="125">
        <x:f>57.8+25.3-0.2</x:f>
        <x:v>82.9</x:v>
      </x:c>
      <x:c r="G60" s="120">
        <x:f t="shared" ref="G60:G75" si="2">D60+E60-F60</x:f>
        <x:v>0</x:v>
      </x:c>
      <x:c r="H60" s="146"/>
    </x:row>
    <x:row r="61" spans="1:8" hidden="1" customHeight="1">
      <x:c r="A61" s="144"/>
      <x:c r="B61" s="134" t="s">
        <x:v>11</x:v>
      </x:c>
      <x:c r="C61" s="110" t="s">
        <x:v>42</x:v>
      </x:c>
      <x:c r="D61" s="123"/>
      <x:c r="E61" s="124">
        <x:f>87.6+5+47.2+62.4+16.8</x:f>
        <x:v>219</x:v>
      </x:c>
      <x:c r="F61" s="125">
        <x:f>20.5+67+5.1+62.6+65.6-1.8</x:f>
        <x:v>219</x:v>
      </x:c>
      <x:c r="G61" s="120">
        <x:f t="shared" si="2"/>
        <x:v>0</x:v>
      </x:c>
      <x:c r="H61" s="146"/>
    </x:row>
    <x:row r="62" spans="1:8" hidden="1" customHeight="1">
      <x:c r="A62" s="147"/>
      <x:c r="B62" s="138" t="s">
        <x:v>31</x:v>
      </x:c>
      <x:c r="C62" s="138" t="s">
        <x:v>43</x:v>
      </x:c>
      <x:c r="D62" s="123"/>
      <x:c r="E62" s="124">
        <x:f>38.2</x:f>
        <x:v>38.2</x:v>
      </x:c>
      <x:c r="F62" s="125">
        <x:f>12+27.5-1.3</x:f>
        <x:v>38.2</x:v>
      </x:c>
      <x:c r="G62" s="120">
        <x:f t="shared" si="2"/>
        <x:v>0</x:v>
      </x:c>
      <x:c r="H62" s="148"/>
    </x:row>
    <x:row r="63" spans="1:8" hidden="1" customHeight="1">
      <x:c r="A63" s="139" t="s">
        <x:v>47</x:v>
      </x:c>
      <x:c r="B63" s="134" t="s">
        <x:v>25</x:v>
      </x:c>
      <x:c r="C63" s="110" t="s">
        <x:v>48</x:v>
      </x:c>
      <x:c r="D63" s="123">
        <x:v>8.12</x:v>
      </x:c>
      <x:c r="E63" s="124"/>
      <x:c r="F63" s="125">
        <x:f>8.23-0.11</x:f>
        <x:v>8.12</x:v>
      </x:c>
      <x:c r="G63" s="120">
        <x:f t="shared" si="2"/>
        <x:v>0</x:v>
      </x:c>
      <x:c r="H63" s="143">
        <x:f>SUM(G63:G72)</x:f>
        <x:v>226.44</x:v>
      </x:c>
    </x:row>
    <x:row r="64" spans="1:8" customHeight="1">
      <x:c r="A64" s="144"/>
      <x:c r="B64" s="122" t="s">
        <x:v>25</x:v>
      </x:c>
      <x:c r="C64" s="110" t="s">
        <x:v>36</x:v>
      </x:c>
      <x:c r="D64" s="123">
        <x:v>7.45</x:v>
      </x:c>
      <x:c r="E64" s="124">
        <x:f>68.1+77.5+77.5+160+24.5+73.1+73.2+77.7+73.1+90.2+2.5+60.8+136.4</x:f>
        <x:v>994.6</x:v>
      </x:c>
      <x:c r="F64" s="125">
        <x:f>60.6+0.5+69.99+58.52+115.57+155.65+99.3+1.22+68.15+77.5+73.01+75.38+113.55</x:f>
        <x:v>968.94</x:v>
      </x:c>
      <x:c r="G64" s="120">
        <x:f t="shared" si="2"/>
        <x:v>33.1100000000002</x:v>
      </x:c>
      <x:c r="H64" s="146"/>
    </x:row>
    <x:row r="65" spans="1:8" ht="30" customHeight="1">
      <x:c r="A65" s="144"/>
      <x:c r="B65" s="122" t="s">
        <x:v>10</x:v>
      </x:c>
      <x:c r="C65" s="110" t="s">
        <x:v>37</x:v>
      </x:c>
      <x:c r="D65" s="123">
        <x:v>37.01</x:v>
      </x:c>
      <x:c r="E65" s="124">
        <x:f>45+63.5+4+27.5+122.8-2.5+47.2</x:f>
        <x:v>307.5</x:v>
      </x:c>
      <x:c r="F65" s="125">
        <x:f>27.57+72.43+28.81+14.95+5.1+0.65+27.41+0.09+79.92+42.55+36.72</x:f>
        <x:v>336.2</x:v>
      </x:c>
      <x:c r="G65" s="120">
        <x:f t="shared" si="2"/>
        <x:v>8.30999999999995</x:v>
      </x:c>
      <x:c r="H65" s="146"/>
    </x:row>
    <x:row r="66" spans="1:8" ht="30" hidden="1" customHeight="1">
      <x:c r="A66" s="144"/>
      <x:c r="B66" s="122" t="s">
        <x:v>10</x:v>
      </x:c>
      <x:c r="C66" s="110" t="s">
        <x:v>45</x:v>
      </x:c>
      <x:c r="D66" s="123"/>
      <x:c r="E66" s="124">
        <x:v>46.4</x:v>
      </x:c>
      <x:c r="F66" s="125">
        <x:f>28.34+17.57+0.49</x:f>
        <x:v>46.4</x:v>
      </x:c>
      <x:c r="G66" s="120">
        <x:f t="shared" si="2"/>
        <x:v>0</x:v>
      </x:c>
      <x:c r="H66" s="146"/>
    </x:row>
    <x:row r="67" spans="1:8" customHeight="1">
      <x:c r="A67" s="144"/>
      <x:c r="B67" s="122" t="s">
        <x:v>10</x:v>
      </x:c>
      <x:c r="C67" s="110" t="s">
        <x:v>38</x:v>
      </x:c>
      <x:c r="D67" s="123">
        <x:v>35.89</x:v>
      </x:c>
      <x:c r="E67" s="124">
        <x:f>26.6+25.2</x:f>
        <x:v>51.8</x:v>
      </x:c>
      <x:c r="F67" s="125">
        <x:f>21.76+0.5+13.52+0.11+21.22+16.91</x:f>
        <x:v>74.02</x:v>
      </x:c>
      <x:c r="G67" s="120">
        <x:f t="shared" si="2"/>
        <x:v>13.67</x:v>
      </x:c>
      <x:c r="H67" s="146"/>
    </x:row>
    <x:row r="68" spans="1:8" customHeight="1">
      <x:c r="A68" s="144"/>
      <x:c r="B68" s="122" t="s">
        <x:v>28</x:v>
      </x:c>
      <x:c r="C68" s="110" t="s">
        <x:v>39</x:v>
      </x:c>
      <x:c r="D68" s="123">
        <x:v>86.49</x:v>
      </x:c>
      <x:c r="E68" s="124"/>
      <x:c r="F68" s="125">
        <x:f>26.01+5.73+5.82+11.56+11.56</x:f>
        <x:v>60.68</x:v>
      </x:c>
      <x:c r="G68" s="120">
        <x:f t="shared" si="2"/>
        <x:v>25.81</x:v>
      </x:c>
      <x:c r="H68" s="146"/>
    </x:row>
    <x:row r="69" spans="1:8" customHeight="1">
      <x:c r="A69" s="144"/>
      <x:c r="B69" s="122" t="s">
        <x:v>28</x:v>
      </x:c>
      <x:c r="C69" s="110" t="s">
        <x:v>41</x:v>
      </x:c>
      <x:c r="D69" s="123">
        <x:v>48.2</x:v>
      </x:c>
      <x:c r="E69" s="124"/>
      <x:c r="F69" s="125">
        <x:f>4.97+10.27</x:f>
        <x:v>15.24</x:v>
      </x:c>
      <x:c r="G69" s="120">
        <x:f t="shared" si="2"/>
        <x:v>32.96</x:v>
      </x:c>
      <x:c r="H69" s="146"/>
    </x:row>
    <x:row r="70" spans="1:8" customHeight="1">
      <x:c r="A70" s="144"/>
      <x:c r="B70" s="134" t="s">
        <x:v>28</x:v>
      </x:c>
      <x:c r="C70" s="110" t="s">
        <x:v>40</x:v>
      </x:c>
      <x:c r="D70" s="123">
        <x:v>27.83</x:v>
      </x:c>
      <x:c r="E70" s="124">
        <x:f>57.8+25.3</x:f>
        <x:v>83.1</x:v>
      </x:c>
      <x:c r="F70" s="125">
        <x:f>9.65+12.96+12.62+19.54+12.82+18.73</x:f>
        <x:v>86.32</x:v>
      </x:c>
      <x:c r="G70" s="120">
        <x:f t="shared" si="2"/>
        <x:v>24.61</x:v>
      </x:c>
      <x:c r="H70" s="146"/>
    </x:row>
    <x:row r="71" spans="1:8" customHeight="1">
      <x:c r="A71" s="144"/>
      <x:c r="B71" s="134" t="s">
        <x:v>11</x:v>
      </x:c>
      <x:c r="C71" s="110" t="s">
        <x:v>42</x:v>
      </x:c>
      <x:c r="D71" s="123">
        <x:v>63.38</x:v>
      </x:c>
      <x:c r="E71" s="124">
        <x:f>3+20.5+67+5+62.6+65.6</x:f>
        <x:v>223.7</x:v>
      </x:c>
      <x:c r="F71" s="125">
        <x:f>57.11+30.48+92.37+15.01+31.01+12.63</x:f>
        <x:v>238.61</x:v>
      </x:c>
      <x:c r="G71" s="120">
        <x:f t="shared" si="2"/>
        <x:v>48.47</x:v>
      </x:c>
      <x:c r="H71" s="146"/>
    </x:row>
    <x:row r="72" spans="1:8" customHeight="1">
      <x:c r="A72" s="147"/>
      <x:c r="B72" s="134" t="s">
        <x:v>33</x:v>
      </x:c>
      <x:c r="C72" s="110" t="s">
        <x:v>43</x:v>
      </x:c>
      <x:c r="D72" s="123"/>
      <x:c r="E72" s="124">
        <x:f>12+27.5</x:f>
        <x:v>39.5</x:v>
      </x:c>
      <x:c r="F72" s="125"/>
      <x:c r="G72" s="120">
        <x:f t="shared" si="2"/>
        <x:v>39.5</x:v>
      </x:c>
      <x:c r="H72" s="148"/>
    </x:row>
    <x:row r="73" spans="1:8" customHeight="1">
      <x:c r="A73" s="1" t="s">
        <x:v>49</x:v>
      </x:c>
      <x:c r="B73" s="150" t="s">
        <x:v>50</x:v>
      </x:c>
      <x:c r="C73" s="110" t="s">
        <x:v>39</x:v>
      </x:c>
      <x:c r="D73" s="123">
        <x:v>14.417</x:v>
      </x:c>
      <x:c r="E73" s="124"/>
      <x:c r="F73" s="125"/>
      <x:c r="G73" s="120">
        <x:f t="shared" si="2"/>
        <x:v>14.417</x:v>
      </x:c>
      <x:c r="H73" s="121">
        <x:f>SUM(G73:G75)</x:f>
        <x:v>66.856</x:v>
      </x:c>
    </x:row>
    <x:row r="74" spans="1:8" customHeight="1">
      <x:c r="A74" s="1"/>
      <x:c r="B74" s="150" t="s">
        <x:v>51</x:v>
      </x:c>
      <x:c r="C74" s="110" t="s">
        <x:v>36</x:v>
      </x:c>
      <x:c r="D74" s="123">
        <x:v>1.45</x:v>
      </x:c>
      <x:c r="E74" s="124">
        <x:f>2.29+0.19</x:f>
        <x:v>2.48</x:v>
      </x:c>
      <x:c r="F74" s="125"/>
      <x:c r="G74" s="120">
        <x:f t="shared" si="2"/>
        <x:v>3.93</x:v>
      </x:c>
      <x:c r="H74" s="121"/>
    </x:row>
    <x:row r="75" spans="1:8" customHeight="1">
      <x:c r="A75" s="1"/>
      <x:c r="B75" s="150" t="s">
        <x:v>52</x:v>
      </x:c>
      <x:c r="C75" s="134" t="s">
        <x:v>42</x:v>
      </x:c>
      <x:c r="D75" s="140">
        <x:v>48.509</x:v>
      </x:c>
      <x:c r="E75" s="141"/>
      <x:c r="F75" s="151"/>
      <x:c r="G75" s="120">
        <x:f t="shared" si="2"/>
        <x:v>48.509</x:v>
      </x:c>
      <x:c r="H75" s="121"/>
    </x:row>
    <x:row r="76" spans="1:8" customHeight="1">
      <x:c r="A76" s="138" t="s">
        <x:v>53</x:v>
      </x:c>
      <x:c r="B76" s="138"/>
      <x:c r="C76" s="138"/>
      <x:c r="D76" s="152">
        <x:f>SUM(D3:D75)</x:f>
        <x:v>4960.476</x:v>
      </x:c>
      <x:c r="E76" s="153">
        <x:f>SUM(E3:E75)</x:f>
        <x:v>11433.19</x:v>
      </x:c>
      <x:c r="F76" s="154">
        <x:f>SUM(F3:F75)</x:f>
        <x:v>10708.32</x:v>
      </x:c>
      <x:c r="G76" s="155">
        <x:f>SUM(G3:G75)</x:f>
        <x:v>5685.346</x:v>
      </x:c>
      <x:c r="H76" s="154">
        <x:f>SUM(H3:H75)</x:f>
        <x:v>5685.346</x:v>
      </x:c>
    </x:row>
    <x:row r="77" spans="1:8" customHeight="1">
      <x:c r="A77" s="156"/>
      <x:c r="B77" s="156"/>
      <x:c r="C77" s="156"/>
      <x:c r="D77" s="156"/>
      <x:c r="E77" s="156"/>
      <x:c r="F77" s="156"/>
      <x:c r="G77" s="156"/>
      <x:c r="H77" s="156"/>
    </x:row>
    <x:row r="78" spans="1:8" customHeight="1">
      <x:c r="A78" s="157" t="s">
        <x:v>54</x:v>
      </x:c>
      <x:c r="B78" s="158"/>
      <x:c r="C78" s="159"/>
      <x:c r="D78" s="159">
        <x:v>8.82</x:v>
      </x:c>
      <x:c r="E78" s="159"/>
      <x:c r="F78" s="159"/>
      <x:c r="G78" s="160">
        <x:f>D78+E78-F78</x:f>
        <x:v>8.82</x:v>
      </x:c>
      <x:c r="H78" s="159">
        <x:f>G78</x:f>
        <x:v>8.82</x:v>
      </x:c>
    </x:row>
    <x:row r="79" spans="1:8" customHeight="1">
      <x:c r="A79" s="161" t="s">
        <x:v>55</x:v>
      </x:c>
      <x:c r="B79" s="156"/>
      <x:c r="C79" s="156"/>
      <x:c r="D79" s="162">
        <x:v>41.368</x:v>
      </x:c>
      <x:c r="E79" s="162"/>
      <x:c r="F79" s="162"/>
      <x:c r="G79" s="160">
        <x:f>D79+E79-F79</x:f>
        <x:v>41.368</x:v>
      </x:c>
      <x:c r="H79" s="159">
        <x:f>G79</x:f>
        <x:v>41.368</x:v>
      </x:c>
    </x:row>
    <x:row r="80" spans="1:8" customHeight="1">
      <x:c r="A80" s="162" t="s">
        <x:v>56</x:v>
      </x:c>
      <x:c r="B80" s="162"/>
      <x:c r="C80" s="162"/>
      <x:c r="D80" s="162"/>
      <x:c r="E80" s="162"/>
      <x:c r="F80" s="162"/>
      <x:c r="G80" s="162"/>
      <x:c r="H80" s="159">
        <x:f>SUM(H78:H79)</x:f>
        <x:v>50.188</x:v>
      </x:c>
    </x:row>
    <x:row r="81" spans="1:8" customHeight="1">
      <x:c r="A81" s="163"/>
      <x:c r="B81" s="163"/>
      <x:c r="C81" s="163"/>
      <x:c r="D81" s="163"/>
      <x:c r="E81" s="164"/>
      <x:c r="F81" s="163"/>
      <x:c r="G81" s="163"/>
      <x:c r="H81" s="163"/>
    </x:row>
  </x:sheetData>
  <x:mergeCells count="20">
    <x:mergeCell ref="A1:H1"/>
    <x:mergeCell ref="A76:C76"/>
    <x:mergeCell ref="A77:H77"/>
    <x:mergeCell ref="B78:C78"/>
    <x:mergeCell ref="B79:C79"/>
    <x:mergeCell ref="A80:G80"/>
    <x:mergeCell ref="A3:A16"/>
    <x:mergeCell ref="A17:A27"/>
    <x:mergeCell ref="A28:A44"/>
    <x:mergeCell ref="A45:A55"/>
    <x:mergeCell ref="A56:A62"/>
    <x:mergeCell ref="A63:A72"/>
    <x:mergeCell ref="A73:A75"/>
    <x:mergeCell ref="H3:H16"/>
    <x:mergeCell ref="H17:H27"/>
    <x:mergeCell ref="H28:H44"/>
    <x:mergeCell ref="H45:H55"/>
    <x:mergeCell ref="H56:H62"/>
    <x:mergeCell ref="H63:H72"/>
    <x:mergeCell ref="H73:H75"/>
  </x:mergeCells>
  <x:pageMargins left="0.75" right="0.75" top="1" bottom="1" header="0.5" footer="0.5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U40"/>
  <x:sheetViews>
    <x:sheetView topLeftCell="A23" workbookViewId="0">
      <x:selection activeCell="A1" sqref="A1:I39"/>
    </x:sheetView>
  </x:sheetViews>
  <x:sheetFormatPr defaultColWidth="11.25" defaultRowHeight="34" customHeight="1"/>
  <x:cols>
    <x:col min="1" max="4" width="11.25" style="16" customWidth="1"/>
    <x:col min="5" max="5" width="12.75" style="16" hidden="1" customWidth="1"/>
    <x:col min="6" max="6" width="14.125" style="16" hidden="1" customWidth="1"/>
    <x:col min="7" max="7" width="13.875" style="16" hidden="1" customWidth="1"/>
    <x:col min="8" max="8" width="12.875" style="16" customWidth="1"/>
    <x:col min="9" max="9" width="13.375" style="16" customWidth="1"/>
    <x:col min="10" max="16384" width="11.25" style="16" customWidth="1"/>
  </x:cols>
  <x:sheetData>
    <x:row r="1" spans="1:21" ht="48" customHeight="1">
      <x:c r="A1" s="19" t="s">
        <x:v>57</x:v>
      </x:c>
      <x:c r="B1" s="19"/>
      <x:c r="C1" s="19"/>
      <x:c r="D1" s="19"/>
      <x:c r="E1" s="19"/>
      <x:c r="F1" s="19"/>
      <x:c r="G1" s="19"/>
      <x:c r="H1" s="19"/>
      <x:c r="I1" s="19"/>
      <x:c r="M1" s="21"/>
      <x:c r="N1" s="21"/>
      <x:c r="O1" s="21"/>
      <x:c r="P1" s="21"/>
      <x:c r="Q1" s="21"/>
      <x:c r="R1" s="21"/>
      <x:c r="S1" s="21"/>
      <x:c r="T1" s="21"/>
      <x:c r="U1" s="21"/>
    </x:row>
    <x:row r="2" spans="1:21" customHeight="1">
      <x:c r="A2" s="53" t="s">
        <x:v>58</x:v>
      </x:c>
      <x:c r="B2" s="54" t="s">
        <x:v>59</x:v>
      </x:c>
      <x:c r="C2" s="53" t="s">
        <x:v>60</x:v>
      </x:c>
      <x:c r="D2" s="55" t="s">
        <x:v>3</x:v>
      </x:c>
      <x:c r="E2" s="56" t="s">
        <x:v>4</x:v>
      </x:c>
      <x:c r="F2" s="53" t="s">
        <x:v>61</x:v>
      </x:c>
      <x:c r="G2" s="55" t="s">
        <x:v>6</x:v>
      </x:c>
      <x:c r="H2" s="57" t="s">
        <x:v>7</x:v>
      </x:c>
      <x:c r="I2" s="54" t="s">
        <x:v>8</x:v>
      </x:c>
      <x:c r="M2" s="21"/>
      <x:c r="N2" s="21"/>
      <x:c r="O2" s="21"/>
      <x:c r="P2" s="21"/>
      <x:c r="Q2" s="21"/>
      <x:c r="R2" s="21"/>
      <x:c r="S2" s="21"/>
      <x:c r="T2" s="21"/>
      <x:c r="U2" s="21"/>
    </x:row>
    <x:row r="3" spans="1:21" customHeight="1">
      <x:c r="A3" s="58" t="s">
        <x:v>9</x:v>
      </x:c>
      <x:c r="B3" s="29" t="s">
        <x:v>62</x:v>
      </x:c>
      <x:c r="C3" s="59">
        <x:v>9</x:v>
      </x:c>
      <x:c r="D3" s="60">
        <x:v>50</x:v>
      </x:c>
      <x:c r="E3" s="56">
        <x:v>631.178</x:v>
      </x:c>
      <x:c r="F3" s="53"/>
      <x:c r="G3" s="61">
        <x:f>24.6+55.4</x:f>
        <x:v>80</x:v>
      </x:c>
      <x:c r="H3" s="62">
        <x:f t="shared" ref="H3:H10" si="0">E3+F3-G3</x:f>
        <x:v>551.178</x:v>
      </x:c>
      <x:c r="I3" s="63">
        <x:f>SUM(H3:H9)</x:f>
        <x:v>1138.094</x:v>
      </x:c>
      <x:c r="M3" s="21"/>
      <x:c r="N3" s="21"/>
      <x:c r="O3" s="21"/>
      <x:c r="P3" s="21"/>
      <x:c r="Q3" s="21"/>
      <x:c r="R3" s="21"/>
      <x:c r="S3" s="21"/>
      <x:c r="T3" s="21"/>
      <x:c r="U3" s="21"/>
    </x:row>
    <x:row r="4" spans="1:21" customHeight="1">
      <x:c r="A4" s="58"/>
      <x:c r="B4" s="29" t="s">
        <x:v>63</x:v>
      </x:c>
      <x:c r="C4" s="59">
        <x:v>6</x:v>
      </x:c>
      <x:c r="D4" s="60">
        <x:v>50</x:v>
      </x:c>
      <x:c r="E4" s="56">
        <x:v>40.82</x:v>
      </x:c>
      <x:c r="F4" s="53"/>
      <x:c r="G4" s="61"/>
      <x:c r="H4" s="62">
        <x:f t="shared" si="0"/>
        <x:v>40.82</x:v>
      </x:c>
      <x:c r="I4" s="63"/>
      <x:c r="M4" s="21"/>
      <x:c r="N4" s="21"/>
      <x:c r="O4" s="21"/>
      <x:c r="P4" s="21"/>
      <x:c r="Q4" s="21"/>
      <x:c r="R4" s="21"/>
      <x:c r="S4" s="21"/>
      <x:c r="T4" s="21"/>
      <x:c r="U4" s="21"/>
    </x:row>
    <x:row r="5" spans="1:21" customHeight="1">
      <x:c r="A5" s="58"/>
      <x:c r="B5" s="64" t="s">
        <x:v>63</x:v>
      </x:c>
      <x:c r="C5" s="65" t="s">
        <x:v>64</x:v>
      </x:c>
      <x:c r="D5" s="66">
        <x:v>60</x:v>
      </x:c>
      <x:c r="E5" s="56">
        <x:v>205.7</x:v>
      </x:c>
      <x:c r="F5" s="67"/>
      <x:c r="G5" s="61"/>
      <x:c r="H5" s="62">
        <x:f t="shared" si="0"/>
        <x:v>205.7</x:v>
      </x:c>
      <x:c r="I5" s="63"/>
      <x:c r="M5" s="21"/>
      <x:c r="N5" s="21"/>
      <x:c r="O5" s="21"/>
      <x:c r="P5" s="21"/>
      <x:c r="Q5" s="21"/>
      <x:c r="R5" s="21"/>
      <x:c r="S5" s="21"/>
      <x:c r="T5" s="21"/>
      <x:c r="U5" s="21"/>
    </x:row>
    <x:row r="6" spans="1:21" customHeight="1">
      <x:c r="A6" s="58"/>
      <x:c r="B6" s="64" t="s">
        <x:v>65</x:v>
      </x:c>
      <x:c r="C6" s="65" t="s">
        <x:v>64</x:v>
      </x:c>
      <x:c r="D6" s="66">
        <x:v>60</x:v>
      </x:c>
      <x:c r="E6" s="56">
        <x:v>68.88</x:v>
      </x:c>
      <x:c r="F6" s="67"/>
      <x:c r="G6" s="61"/>
      <x:c r="H6" s="62">
        <x:f t="shared" si="0"/>
        <x:v>68.88</x:v>
      </x:c>
      <x:c r="I6" s="63"/>
      <x:c r="M6" s="21"/>
      <x:c r="N6" s="21"/>
      <x:c r="O6" s="21"/>
      <x:c r="P6" s="21"/>
      <x:c r="Q6" s="21"/>
      <x:c r="R6" s="21"/>
      <x:c r="S6" s="21"/>
      <x:c r="T6" s="21"/>
      <x:c r="U6" s="21"/>
    </x:row>
    <x:row r="7" spans="1:21" customHeight="1">
      <x:c r="A7" s="58"/>
      <x:c r="B7" s="64" t="s">
        <x:v>63</x:v>
      </x:c>
      <x:c r="C7" s="65" t="s">
        <x:v>64</x:v>
      </x:c>
      <x:c r="D7" s="66">
        <x:v>70</x:v>
      </x:c>
      <x:c r="E7" s="56">
        <x:v>137.29</x:v>
      </x:c>
      <x:c r="F7" s="67"/>
      <x:c r="G7" s="61"/>
      <x:c r="H7" s="62">
        <x:f t="shared" si="0"/>
        <x:v>137.29</x:v>
      </x:c>
      <x:c r="I7" s="63"/>
      <x:c r="M7" s="21"/>
      <x:c r="N7" s="21"/>
      <x:c r="O7" s="21"/>
      <x:c r="P7" s="21"/>
      <x:c r="Q7" s="21"/>
      <x:c r="R7" s="21"/>
      <x:c r="S7" s="21"/>
      <x:c r="T7" s="21"/>
      <x:c r="U7" s="21"/>
    </x:row>
    <x:row r="8" spans="1:21" customHeight="1">
      <x:c r="A8" s="58"/>
      <x:c r="B8" s="29" t="s">
        <x:v>62</x:v>
      </x:c>
      <x:c r="C8" s="40">
        <x:v>9</x:v>
      </x:c>
      <x:c r="D8" s="41" t="s">
        <x:v>66</x:v>
      </x:c>
      <x:c r="E8" s="68">
        <x:v>97.726</x:v>
      </x:c>
      <x:c r="F8" s="59"/>
      <x:c r="G8" s="60"/>
      <x:c r="H8" s="62">
        <x:f t="shared" si="0"/>
        <x:v>97.726</x:v>
      </x:c>
      <x:c r="I8" s="63"/>
      <x:c r="M8" s="21"/>
      <x:c r="N8" s="21"/>
      <x:c r="O8" s="21"/>
      <x:c r="P8" s="21"/>
      <x:c r="Q8" s="21"/>
      <x:c r="R8" s="21"/>
      <x:c r="S8" s="21"/>
      <x:c r="T8" s="21"/>
      <x:c r="U8" s="21"/>
    </x:row>
    <x:row r="9" spans="1:21" customHeight="1">
      <x:c r="A9" s="58"/>
      <x:c r="B9" s="29" t="s">
        <x:v>62</x:v>
      </x:c>
      <x:c r="C9" s="40">
        <x:v>9</x:v>
      </x:c>
      <x:c r="D9" s="41" t="s">
        <x:v>67</x:v>
      </x:c>
      <x:c r="E9" s="69"/>
      <x:c r="F9" s="59">
        <x:f>71.4</x:f>
        <x:v>71.4</x:v>
      </x:c>
      <x:c r="G9" s="60">
        <x:f>7.5+27.4</x:f>
        <x:v>34.9</x:v>
      </x:c>
      <x:c r="H9" s="62">
        <x:f t="shared" si="0"/>
        <x:v>36.5</x:v>
      </x:c>
      <x:c r="I9" s="63"/>
      <x:c r="M9" s="21"/>
      <x:c r="N9" s="21"/>
      <x:c r="O9" s="21"/>
      <x:c r="P9" s="21"/>
      <x:c r="Q9" s="21"/>
      <x:c r="R9" s="21"/>
      <x:c r="S9" s="21"/>
      <x:c r="T9" s="21"/>
      <x:c r="U9" s="21"/>
    </x:row>
    <x:row r="10" spans="1:21" customHeight="1">
      <x:c r="A10" s="70" t="s">
        <x:v>68</x:v>
      </x:c>
      <x:c r="B10" s="29" t="s">
        <x:v>69</x:v>
      </x:c>
      <x:c r="C10" s="40">
        <x:v>1.125</x:v>
      </x:c>
      <x:c r="D10" s="41" t="s">
        <x:v>70</x:v>
      </x:c>
      <x:c r="E10" s="69"/>
      <x:c r="F10" s="59">
        <x:f>24.6+55.4</x:f>
        <x:v>80</x:v>
      </x:c>
      <x:c r="G10" s="60"/>
      <x:c r="H10" s="62">
        <x:f t="shared" si="0"/>
        <x:v>80</x:v>
      </x:c>
      <x:c r="I10" s="71">
        <x:f>SUM(H10:H16)</x:f>
        <x:v>241.04</x:v>
      </x:c>
      <x:c r="M10" s="21"/>
      <x:c r="N10" s="21"/>
      <x:c r="O10" s="21"/>
      <x:c r="P10" s="21"/>
      <x:c r="Q10" s="21"/>
      <x:c r="R10" s="21"/>
      <x:c r="S10" s="21"/>
      <x:c r="T10" s="21"/>
      <x:c r="U10" s="21"/>
    </x:row>
    <x:row r="11" spans="1:21" customHeight="1">
      <x:c r="A11" s="70"/>
      <x:c r="B11" s="29" t="s">
        <x:v>69</x:v>
      </x:c>
      <x:c r="C11" s="40">
        <x:v>1.285</x:v>
      </x:c>
      <x:c r="D11" s="41" t="s">
        <x:v>70</x:v>
      </x:c>
      <x:c r="E11" s="69">
        <x:v>22.8</x:v>
      </x:c>
      <x:c r="F11" s="59"/>
      <x:c r="G11" s="60"/>
      <x:c r="H11" s="62">
        <x:f t="shared" ref="H11:H22" si="1">E11+F11-G11</x:f>
        <x:v>22.8</x:v>
      </x:c>
      <x:c r="I11" s="71"/>
      <x:c r="M11" s="21"/>
      <x:c r="N11" s="21"/>
      <x:c r="O11" s="21"/>
      <x:c r="P11" s="21"/>
      <x:c r="Q11" s="21"/>
      <x:c r="R11" s="21"/>
      <x:c r="S11" s="21"/>
      <x:c r="T11" s="21"/>
      <x:c r="U11" s="21"/>
    </x:row>
    <x:row r="12" spans="1:21" customHeight="1">
      <x:c r="A12" s="70"/>
      <x:c r="B12" s="29" t="s">
        <x:v>69</x:v>
      </x:c>
      <x:c r="C12" s="40">
        <x:v>1.5</x:v>
      </x:c>
      <x:c r="D12" s="41" t="s">
        <x:v>70</x:v>
      </x:c>
      <x:c r="E12" s="69">
        <x:v>12.8</x:v>
      </x:c>
      <x:c r="F12" s="59"/>
      <x:c r="G12" s="60"/>
      <x:c r="H12" s="62">
        <x:f t="shared" si="1"/>
        <x:v>12.8</x:v>
      </x:c>
      <x:c r="I12" s="71"/>
      <x:c r="M12" s="21"/>
      <x:c r="N12" s="21"/>
      <x:c r="O12" s="21"/>
      <x:c r="P12" s="21"/>
      <x:c r="Q12" s="21"/>
      <x:c r="R12" s="21"/>
      <x:c r="S12" s="21"/>
      <x:c r="T12" s="21"/>
      <x:c r="U12" s="21"/>
    </x:row>
    <x:row r="13" spans="1:21" customHeight="1">
      <x:c r="A13" s="70"/>
      <x:c r="B13" s="29" t="s">
        <x:v>71</x:v>
      </x:c>
      <x:c r="C13" s="40">
        <x:v>1.5</x:v>
      </x:c>
      <x:c r="D13" s="41" t="s">
        <x:v>66</x:v>
      </x:c>
      <x:c r="E13" s="69">
        <x:v>14</x:v>
      </x:c>
      <x:c r="F13" s="59"/>
      <x:c r="G13" s="60"/>
      <x:c r="H13" s="62">
        <x:f t="shared" si="1"/>
        <x:v>14</x:v>
      </x:c>
      <x:c r="I13" s="71"/>
      <x:c r="M13" s="21"/>
      <x:c r="N13" s="21"/>
      <x:c r="O13" s="21"/>
      <x:c r="P13" s="21"/>
      <x:c r="Q13" s="21"/>
      <x:c r="R13" s="21"/>
      <x:c r="S13" s="21"/>
      <x:c r="T13" s="21"/>
      <x:c r="U13" s="21"/>
    </x:row>
    <x:row r="14" spans="1:21" customHeight="1">
      <x:c r="A14" s="70"/>
      <x:c r="B14" s="29" t="s">
        <x:v>72</x:v>
      </x:c>
      <x:c r="C14" s="40">
        <x:v>1.8</x:v>
      </x:c>
      <x:c r="D14" s="41" t="s">
        <x:v>67</x:v>
      </x:c>
      <x:c r="E14" s="69">
        <x:v>71</x:v>
      </x:c>
      <x:c r="F14" s="59">
        <x:f>7.5+27.4</x:f>
        <x:v>34.9</x:v>
      </x:c>
      <x:c r="G14" s="60">
        <x:f>31.14+33.32</x:f>
        <x:v>64.46</x:v>
      </x:c>
      <x:c r="H14" s="62">
        <x:f t="shared" si="1"/>
        <x:v>41.44</x:v>
      </x:c>
      <x:c r="I14" s="71"/>
      <x:c r="M14" s="21"/>
      <x:c r="N14" s="21"/>
      <x:c r="O14" s="21"/>
      <x:c r="P14" s="21"/>
      <x:c r="Q14" s="21"/>
      <x:c r="R14" s="21"/>
      <x:c r="S14" s="21"/>
      <x:c r="T14" s="21"/>
      <x:c r="U14" s="21"/>
    </x:row>
    <x:row r="15" spans="1:21" customHeight="1">
      <x:c r="A15" s="70"/>
      <x:c r="B15" s="29" t="s">
        <x:v>73</x:v>
      </x:c>
      <x:c r="C15" s="40">
        <x:v>1.8</x:v>
      </x:c>
      <x:c r="D15" s="41" t="s">
        <x:v>74</x:v>
      </x:c>
      <x:c r="E15" s="69">
        <x:v>35</x:v>
      </x:c>
      <x:c r="F15" s="59"/>
      <x:c r="G15" s="60"/>
      <x:c r="H15" s="62">
        <x:f t="shared" si="1"/>
        <x:v>35</x:v>
      </x:c>
      <x:c r="I15" s="71"/>
      <x:c r="M15" s="21"/>
      <x:c r="N15" s="21"/>
      <x:c r="O15" s="21"/>
      <x:c r="P15" s="21"/>
      <x:c r="Q15" s="21"/>
      <x:c r="R15" s="21"/>
      <x:c r="S15" s="21"/>
      <x:c r="T15" s="21"/>
      <x:c r="U15" s="21"/>
    </x:row>
    <x:row r="16" spans="1:21" customHeight="1">
      <x:c r="A16" s="70"/>
      <x:c r="B16" s="29" t="s">
        <x:v>75</x:v>
      </x:c>
      <x:c r="C16" s="40">
        <x:v>2</x:v>
      </x:c>
      <x:c r="D16" s="41" t="s">
        <x:v>74</x:v>
      </x:c>
      <x:c r="E16" s="69">
        <x:v>35</x:v>
      </x:c>
      <x:c r="F16" s="59"/>
      <x:c r="G16" s="60"/>
      <x:c r="H16" s="62">
        <x:f t="shared" si="1"/>
        <x:v>35</x:v>
      </x:c>
      <x:c r="I16" s="71"/>
      <x:c r="M16" s="21"/>
      <x:c r="N16" s="21"/>
      <x:c r="O16" s="21"/>
      <x:c r="P16" s="21"/>
      <x:c r="Q16" s="21"/>
      <x:c r="R16" s="21"/>
      <x:c r="S16" s="21"/>
      <x:c r="T16" s="21"/>
      <x:c r="U16" s="21"/>
    </x:row>
    <x:row r="17" spans="1:21" hidden="1" customHeight="1">
      <x:c r="A17" s="70" t="s">
        <x:v>76</x:v>
      </x:c>
      <x:c r="B17" s="64" t="s">
        <x:v>77</x:v>
      </x:c>
      <x:c r="C17" s="72">
        <x:v>1.5</x:v>
      </x:c>
      <x:c r="D17" s="73" t="s">
        <x:v>78</x:v>
      </x:c>
      <x:c r="E17" s="56">
        <x:v>9.42</x:v>
      </x:c>
      <x:c r="F17" s="67"/>
      <x:c r="G17" s="61">
        <x:f>9.3+0.12</x:f>
        <x:v>9.42</x:v>
      </x:c>
      <x:c r="H17" s="62">
        <x:f t="shared" si="1"/>
        <x:v>0</x:v>
      </x:c>
      <x:c r="I17" s="71">
        <x:f>SUM(H17:H20)</x:f>
        <x:v>35.69</x:v>
      </x:c>
      <x:c r="M17" s="21"/>
      <x:c r="N17" s="21"/>
      <x:c r="O17" s="21"/>
      <x:c r="P17" s="21"/>
      <x:c r="Q17" s="21"/>
      <x:c r="R17" s="21"/>
      <x:c r="S17" s="21"/>
      <x:c r="T17" s="21"/>
      <x:c r="U17" s="21"/>
    </x:row>
    <x:row r="18" spans="1:21" customHeight="1">
      <x:c r="A18" s="70"/>
      <x:c r="B18" s="64" t="s">
        <x:v>79</x:v>
      </x:c>
      <x:c r="C18" s="72">
        <x:v>1.8</x:v>
      </x:c>
      <x:c r="D18" s="73" t="s">
        <x:v>80</x:v>
      </x:c>
      <x:c r="E18" s="56"/>
      <x:c r="F18" s="67">
        <x:f>30.21</x:f>
        <x:v>30.21</x:v>
      </x:c>
      <x:c r="G18" s="61"/>
      <x:c r="H18" s="62">
        <x:f t="shared" si="1"/>
        <x:v>30.21</x:v>
      </x:c>
      <x:c r="I18" s="71"/>
      <x:c r="M18" s="21"/>
      <x:c r="N18" s="21"/>
      <x:c r="O18" s="21"/>
      <x:c r="P18" s="21"/>
      <x:c r="Q18" s="21"/>
      <x:c r="R18" s="21"/>
      <x:c r="S18" s="21"/>
      <x:c r="T18" s="21"/>
      <x:c r="U18" s="21"/>
    </x:row>
    <x:row r="19" spans="1:21" hidden="1" customHeight="1">
      <x:c r="A19" s="70"/>
      <x:c r="B19" s="64" t="s">
        <x:v>72</x:v>
      </x:c>
      <x:c r="C19" s="72">
        <x:v>1.8</x:v>
      </x:c>
      <x:c r="D19" s="73" t="s">
        <x:v>81</x:v>
      </x:c>
      <x:c r="E19" s="56"/>
      <x:c r="F19" s="67">
        <x:v>32.33</x:v>
      </x:c>
      <x:c r="G19" s="61">
        <x:f>32.6-0.27</x:f>
        <x:v>32.33</x:v>
      </x:c>
      <x:c r="H19" s="62">
        <x:f t="shared" si="1"/>
        <x:v>0</x:v>
      </x:c>
      <x:c r="I19" s="71"/>
      <x:c r="M19" s="21"/>
      <x:c r="N19" s="21"/>
      <x:c r="O19" s="21"/>
      <x:c r="P19" s="21"/>
      <x:c r="Q19" s="21"/>
      <x:c r="R19" s="21"/>
      <x:c r="S19" s="21"/>
      <x:c r="T19" s="21"/>
      <x:c r="U19" s="21"/>
    </x:row>
    <x:row r="20" spans="1:21" customHeight="1">
      <x:c r="A20" s="70"/>
      <x:c r="B20" s="74" t="s">
        <x:v>82</x:v>
      </x:c>
      <x:c r="C20" s="40">
        <x:v>1.5</x:v>
      </x:c>
      <x:c r="D20" s="75" t="s">
        <x:v>83</x:v>
      </x:c>
      <x:c r="E20" s="69">
        <x:v>5.48</x:v>
      </x:c>
      <x:c r="F20" s="59"/>
      <x:c r="G20" s="60"/>
      <x:c r="H20" s="62">
        <x:f t="shared" si="1"/>
        <x:v>5.48</x:v>
      </x:c>
      <x:c r="I20" s="71"/>
      <x:c r="M20" s="76"/>
      <x:c r="N20" s="21"/>
      <x:c r="O20" s="77"/>
      <x:c r="P20" s="78"/>
      <x:c r="Q20" s="79"/>
      <x:c r="R20" s="79"/>
      <x:c r="S20" s="79"/>
      <x:c r="T20" s="80"/>
      <x:c r="U20" s="80"/>
    </x:row>
    <x:row r="21" spans="1:21" hidden="1" customHeight="1">
      <x:c r="A21" s="81" t="s">
        <x:v>84</x:v>
      </x:c>
      <x:c r="B21" s="82" t="s">
        <x:v>77</x:v>
      </x:c>
      <x:c r="C21" s="40">
        <x:v>1.5</x:v>
      </x:c>
      <x:c r="D21" s="75" t="s">
        <x:v>78</x:v>
      </x:c>
      <x:c r="E21" s="69">
        <x:v>26.1</x:v>
      </x:c>
      <x:c r="F21" s="59">
        <x:f>9.3</x:f>
        <x:v>9.3</x:v>
      </x:c>
      <x:c r="G21" s="60">
        <x:f>26.5+8.7+0.2</x:f>
        <x:v>35.4</x:v>
      </x:c>
      <x:c r="H21" s="62">
        <x:f t="shared" si="1"/>
        <x:v>0</x:v>
      </x:c>
      <x:c r="I21" s="83">
        <x:f>SUM(H21:H22)</x:f>
        <x:v>32.6</x:v>
      </x:c>
      <x:c r="M21" s="76"/>
      <x:c r="N21" s="21"/>
      <x:c r="O21" s="77"/>
      <x:c r="P21" s="78"/>
      <x:c r="Q21" s="79"/>
      <x:c r="R21" s="79"/>
      <x:c r="S21" s="79"/>
      <x:c r="T21" s="80"/>
      <x:c r="U21" s="80"/>
    </x:row>
    <x:row r="22" spans="1:21" customHeight="1">
      <x:c r="A22" s="58"/>
      <x:c r="B22" s="82" t="s">
        <x:v>79</x:v>
      </x:c>
      <x:c r="C22" s="40">
        <x:v>1.8</x:v>
      </x:c>
      <x:c r="D22" s="75" t="s">
        <x:v>81</x:v>
      </x:c>
      <x:c r="E22" s="69"/>
      <x:c r="F22" s="59">
        <x:f>32.6</x:f>
        <x:v>32.6</x:v>
      </x:c>
      <x:c r="G22" s="60"/>
      <x:c r="H22" s="62">
        <x:f t="shared" si="1"/>
        <x:v>32.6</x:v>
      </x:c>
      <x:c r="I22" s="63"/>
      <x:c r="M22" s="76"/>
      <x:c r="N22" s="21"/>
      <x:c r="O22" s="77"/>
      <x:c r="P22" s="78"/>
      <x:c r="Q22" s="79"/>
      <x:c r="R22" s="79"/>
      <x:c r="S22" s="79"/>
      <x:c r="T22" s="80"/>
      <x:c r="U22" s="80"/>
    </x:row>
    <x:row r="23" spans="1:21" customHeight="1">
      <x:c r="A23" s="84" t="s">
        <x:v>47</x:v>
      </x:c>
      <x:c r="B23" s="82" t="s">
        <x:v>69</x:v>
      </x:c>
      <x:c r="C23" s="40">
        <x:v>1.285</x:v>
      </x:c>
      <x:c r="D23" s="75" t="s">
        <x:v>85</x:v>
      </x:c>
      <x:c r="E23" s="69">
        <x:v>14.3</x:v>
      </x:c>
      <x:c r="F23" s="59"/>
      <x:c r="G23" s="60"/>
      <x:c r="H23" s="62">
        <x:f t="shared" ref="H23:H30" si="2">E23+F23-G23</x:f>
        <x:v>14.3</x:v>
      </x:c>
      <x:c r="I23" s="63">
        <x:f>SUM(H23:H36)</x:f>
        <x:v>348.227</x:v>
      </x:c>
      <x:c r="M23" s="76"/>
      <x:c r="N23" s="21"/>
      <x:c r="O23" s="77"/>
      <x:c r="P23" s="78"/>
      <x:c r="Q23" s="79"/>
      <x:c r="R23" s="79"/>
      <x:c r="S23" s="79"/>
      <x:c r="T23" s="80"/>
      <x:c r="U23" s="80"/>
    </x:row>
    <x:row r="24" spans="1:21" customHeight="1">
      <x:c r="A24" s="84"/>
      <x:c r="B24" s="82" t="s">
        <x:v>69</x:v>
      </x:c>
      <x:c r="C24" s="40">
        <x:v>1.5</x:v>
      </x:c>
      <x:c r="D24" s="75" t="s">
        <x:v>86</x:v>
      </x:c>
      <x:c r="E24" s="69">
        <x:v>72.38</x:v>
      </x:c>
      <x:c r="F24" s="59"/>
      <x:c r="G24" s="60"/>
      <x:c r="H24" s="62">
        <x:f t="shared" si="2"/>
        <x:v>72.38</x:v>
      </x:c>
      <x:c r="I24" s="63"/>
      <x:c r="M24" s="76"/>
      <x:c r="N24" s="21"/>
      <x:c r="O24" s="77"/>
      <x:c r="P24" s="78"/>
      <x:c r="Q24" s="79"/>
      <x:c r="R24" s="79"/>
      <x:c r="S24" s="79"/>
      <x:c r="T24" s="80"/>
      <x:c r="U24" s="80"/>
    </x:row>
    <x:row r="25" spans="1:21" customHeight="1">
      <x:c r="A25" s="84"/>
      <x:c r="B25" s="82" t="s">
        <x:v>69</x:v>
      </x:c>
      <x:c r="C25" s="40">
        <x:v>1.5</x:v>
      </x:c>
      <x:c r="D25" s="75" t="s">
        <x:v>87</x:v>
      </x:c>
      <x:c r="E25" s="69">
        <x:v>15</x:v>
      </x:c>
      <x:c r="F25" s="59"/>
      <x:c r="G25" s="60"/>
      <x:c r="H25" s="62">
        <x:f t="shared" si="2"/>
        <x:v>15</x:v>
      </x:c>
      <x:c r="I25" s="63"/>
      <x:c r="M25" s="76"/>
      <x:c r="N25" s="21"/>
      <x:c r="O25" s="77"/>
      <x:c r="P25" s="78"/>
      <x:c r="Q25" s="79"/>
      <x:c r="R25" s="79"/>
      <x:c r="S25" s="79"/>
      <x:c r="T25" s="80"/>
      <x:c r="U25" s="80"/>
    </x:row>
    <x:row r="26" spans="1:21" ht="33" customHeight="1">
      <x:c r="A26" s="84"/>
      <x:c r="B26" s="85" t="s">
        <x:v>69</x:v>
      </x:c>
      <x:c r="C26" s="40">
        <x:v>1.5</x:v>
      </x:c>
      <x:c r="D26" s="86" t="s">
        <x:v>88</x:v>
      </x:c>
      <x:c r="E26" s="87">
        <x:v>54.15</x:v>
      </x:c>
      <x:c r="F26" s="67"/>
      <x:c r="G26" s="61"/>
      <x:c r="H26" s="88">
        <x:f t="shared" si="2"/>
        <x:v>54.15</x:v>
      </x:c>
      <x:c r="I26" s="63"/>
      <x:c r="M26" s="76"/>
      <x:c r="N26" s="89"/>
      <x:c r="O26" s="77"/>
      <x:c r="P26" s="21"/>
      <x:c r="Q26" s="80"/>
      <x:c r="R26" s="80"/>
      <x:c r="S26" s="80"/>
      <x:c r="T26" s="80"/>
      <x:c r="U26" s="80"/>
    </x:row>
    <x:row r="27" spans="1:21" customHeight="1">
      <x:c r="A27" s="84"/>
      <x:c r="B27" s="85" t="s">
        <x:v>77</x:v>
      </x:c>
      <x:c r="C27" s="40">
        <x:v>1.285</x:v>
      </x:c>
      <x:c r="D27" s="86" t="s">
        <x:v>89</x:v>
      </x:c>
      <x:c r="E27" s="87">
        <x:v>40.85</x:v>
      </x:c>
      <x:c r="F27" s="67"/>
      <x:c r="G27" s="61"/>
      <x:c r="H27" s="88">
        <x:f t="shared" si="2"/>
        <x:v>40.85</x:v>
      </x:c>
      <x:c r="I27" s="63"/>
      <x:c r="M27" s="76"/>
      <x:c r="N27" s="89"/>
      <x:c r="O27" s="77"/>
      <x:c r="P27" s="21"/>
      <x:c r="Q27" s="80"/>
      <x:c r="R27" s="80"/>
      <x:c r="S27" s="80"/>
      <x:c r="T27" s="80"/>
      <x:c r="U27" s="80"/>
    </x:row>
    <x:row r="28" spans="1:21" hidden="1" customHeight="1">
      <x:c r="A28" s="84"/>
      <x:c r="B28" s="85" t="s">
        <x:v>77</x:v>
      </x:c>
      <x:c r="C28" s="40">
        <x:v>1.5</x:v>
      </x:c>
      <x:c r="D28" s="86" t="s">
        <x:v>90</x:v>
      </x:c>
      <x:c r="E28" s="87">
        <x:v>31.9</x:v>
      </x:c>
      <x:c r="F28" s="67"/>
      <x:c r="G28" s="61">
        <x:f>31.83+0.07</x:f>
        <x:v>31.9</x:v>
      </x:c>
      <x:c r="H28" s="88">
        <x:f t="shared" si="2"/>
        <x:v>0</x:v>
      </x:c>
      <x:c r="I28" s="63"/>
      <x:c r="M28" s="76"/>
      <x:c r="N28" s="89"/>
      <x:c r="O28" s="77"/>
      <x:c r="P28" s="21"/>
      <x:c r="Q28" s="80"/>
      <x:c r="R28" s="80"/>
      <x:c r="S28" s="80"/>
      <x:c r="T28" s="80"/>
      <x:c r="U28" s="80"/>
    </x:row>
    <x:row r="29" spans="1:21" customHeight="1">
      <x:c r="A29" s="84"/>
      <x:c r="B29" s="85" t="s">
        <x:v>77</x:v>
      </x:c>
      <x:c r="C29" s="40">
        <x:v>1.5</x:v>
      </x:c>
      <x:c r="D29" s="86" t="s">
        <x:v>78</x:v>
      </x:c>
      <x:c r="E29" s="87"/>
      <x:c r="F29" s="67">
        <x:f>26.5+8.7</x:f>
        <x:v>35.2</x:v>
      </x:c>
      <x:c r="G29" s="61"/>
      <x:c r="H29" s="88">
        <x:f t="shared" si="2"/>
        <x:v>35.2</x:v>
      </x:c>
      <x:c r="I29" s="63"/>
      <x:c r="M29" s="76"/>
      <x:c r="N29" s="89"/>
      <x:c r="O29" s="77"/>
      <x:c r="P29" s="21"/>
      <x:c r="Q29" s="80"/>
      <x:c r="R29" s="80"/>
      <x:c r="S29" s="80"/>
      <x:c r="T29" s="80"/>
      <x:c r="U29" s="80"/>
    </x:row>
    <x:row r="30" spans="1:21" hidden="1" customHeight="1">
      <x:c r="A30" s="84"/>
      <x:c r="B30" s="85" t="s">
        <x:v>91</x:v>
      </x:c>
      <x:c r="C30" s="40">
        <x:v>1.5</x:v>
      </x:c>
      <x:c r="D30" s="86" t="s">
        <x:v>92</x:v>
      </x:c>
      <x:c r="E30" s="87">
        <x:v>36.8</x:v>
      </x:c>
      <x:c r="F30" s="67"/>
      <x:c r="G30" s="61">
        <x:f>36.51+0.29</x:f>
        <x:v>36.8</x:v>
      </x:c>
      <x:c r="H30" s="88">
        <x:f t="shared" ref="H30:H41" si="3">E30+F30-G30</x:f>
        <x:v>0</x:v>
      </x:c>
      <x:c r="I30" s="63"/>
      <x:c r="M30" s="76"/>
      <x:c r="N30" s="89"/>
      <x:c r="O30" s="77"/>
      <x:c r="P30" s="21"/>
      <x:c r="Q30" s="80"/>
      <x:c r="R30" s="80"/>
      <x:c r="S30" s="80"/>
      <x:c r="T30" s="80"/>
      <x:c r="U30" s="80"/>
    </x:row>
    <x:row r="31" spans="1:21" customHeight="1">
      <x:c r="A31" s="84"/>
      <x:c r="B31" s="85" t="s">
        <x:v>72</x:v>
      </x:c>
      <x:c r="C31" s="40">
        <x:v>1.285</x:v>
      </x:c>
      <x:c r="D31" s="86" t="s">
        <x:v>93</x:v>
      </x:c>
      <x:c r="E31" s="69">
        <x:v>33.83</x:v>
      </x:c>
      <x:c r="F31" s="59"/>
      <x:c r="G31" s="60"/>
      <x:c r="H31" s="88">
        <x:f t="shared" si="3"/>
        <x:v>33.83</x:v>
      </x:c>
      <x:c r="I31" s="63"/>
      <x:c r="M31" s="76"/>
      <x:c r="N31" s="89"/>
      <x:c r="O31" s="77"/>
      <x:c r="P31" s="21"/>
      <x:c r="Q31" s="80"/>
      <x:c r="R31" s="80"/>
      <x:c r="S31" s="80"/>
      <x:c r="T31" s="80"/>
      <x:c r="U31" s="80"/>
    </x:row>
    <x:row r="32" spans="1:21" customHeight="1">
      <x:c r="A32" s="84"/>
      <x:c r="B32" s="85" t="s">
        <x:v>72</x:v>
      </x:c>
      <x:c r="C32" s="40">
        <x:v>1.5</x:v>
      </x:c>
      <x:c r="D32" s="86" t="s">
        <x:v>94</x:v>
      </x:c>
      <x:c r="E32" s="69">
        <x:v>25.73</x:v>
      </x:c>
      <x:c r="F32" s="59"/>
      <x:c r="G32" s="60"/>
      <x:c r="H32" s="88">
        <x:f t="shared" si="3"/>
        <x:v>25.73</x:v>
      </x:c>
      <x:c r="I32" s="63"/>
      <x:c r="M32" s="76"/>
      <x:c r="N32" s="89"/>
      <x:c r="O32" s="77"/>
      <x:c r="P32" s="21"/>
      <x:c r="Q32" s="80"/>
      <x:c r="R32" s="80"/>
      <x:c r="S32" s="80"/>
      <x:c r="T32" s="80"/>
      <x:c r="U32" s="80"/>
    </x:row>
    <x:row r="33" spans="1:21" customHeight="1">
      <x:c r="A33" s="84"/>
      <x:c r="B33" s="85" t="s">
        <x:v>72</x:v>
      </x:c>
      <x:c r="C33" s="40">
        <x:v>1.5</x:v>
      </x:c>
      <x:c r="D33" s="86" t="s">
        <x:v>95</x:v>
      </x:c>
      <x:c r="E33" s="69">
        <x:v>73.7</x:v>
      </x:c>
      <x:c r="F33" s="59"/>
      <x:c r="G33" s="60">
        <x:f>35.21</x:f>
        <x:v>35.21</x:v>
      </x:c>
      <x:c r="H33" s="88">
        <x:f t="shared" si="3"/>
        <x:v>38.49</x:v>
      </x:c>
      <x:c r="I33" s="63"/>
      <x:c r="M33" s="76"/>
      <x:c r="N33" s="89"/>
      <x:c r="O33" s="77"/>
      <x:c r="P33" s="21"/>
      <x:c r="Q33" s="80"/>
      <x:c r="R33" s="80"/>
      <x:c r="S33" s="80"/>
      <x:c r="T33" s="80"/>
      <x:c r="U33" s="80"/>
    </x:row>
    <x:row r="34" spans="1:21" customHeight="1">
      <x:c r="A34" s="84"/>
      <x:c r="B34" s="90" t="s">
        <x:v>91</x:v>
      </x:c>
      <x:c r="C34" s="40">
        <x:v>1.5</x:v>
      </x:c>
      <x:c r="D34" s="86" t="s">
        <x:v>96</x:v>
      </x:c>
      <x:c r="E34" s="69">
        <x:v>7.84</x:v>
      </x:c>
      <x:c r="F34" s="59"/>
      <x:c r="G34" s="60"/>
      <x:c r="H34" s="88">
        <x:f t="shared" si="3"/>
        <x:v>7.84</x:v>
      </x:c>
      <x:c r="I34" s="63"/>
      <x:c r="M34" s="76"/>
      <x:c r="N34" s="89"/>
      <x:c r="O34" s="77"/>
      <x:c r="P34" s="21"/>
      <x:c r="Q34" s="80"/>
      <x:c r="R34" s="80"/>
      <x:c r="S34" s="80"/>
      <x:c r="T34" s="80"/>
      <x:c r="U34" s="80"/>
    </x:row>
    <x:row r="35" spans="1:21" customHeight="1">
      <x:c r="A35" s="84"/>
      <x:c r="B35" s="90" t="s">
        <x:v>91</x:v>
      </x:c>
      <x:c r="C35" s="40">
        <x:v>1.5</x:v>
      </x:c>
      <x:c r="D35" s="86" t="s">
        <x:v>97</x:v>
      </x:c>
      <x:c r="E35" s="69">
        <x:v>8.117</x:v>
      </x:c>
      <x:c r="F35" s="59"/>
      <x:c r="G35" s="60"/>
      <x:c r="H35" s="88">
        <x:f t="shared" si="3"/>
        <x:v>8.117</x:v>
      </x:c>
      <x:c r="I35" s="63"/>
      <x:c r="M35" s="91"/>
      <x:c r="N35" s="91"/>
      <x:c r="O35" s="91"/>
      <x:c r="P35" s="92"/>
      <x:c r="Q35" s="92"/>
      <x:c r="R35" s="92"/>
      <x:c r="S35" s="92"/>
      <x:c r="T35" s="92"/>
      <x:c r="U35" s="92"/>
    </x:row>
    <x:row r="36" spans="1:21" s="17" customFormat="1" customHeight="1">
      <x:c r="A36" s="93"/>
      <x:c r="B36" s="22" t="s">
        <x:v>98</x:v>
      </x:c>
      <x:c r="C36" s="2"/>
      <x:c r="D36" s="4" t="s">
        <x:v>99</x:v>
      </x:c>
      <x:c r="E36" s="24">
        <x:v>2.34</x:v>
      </x:c>
      <x:c r="F36" s="4"/>
      <x:c r="G36" s="66"/>
      <x:c r="H36" s="94">
        <x:f t="shared" si="3"/>
        <x:v>2.34</x:v>
      </x:c>
      <x:c r="I36" s="8"/>
      <x:c r="M36" s="27"/>
      <x:c r="N36" s="27"/>
      <x:c r="O36" s="27"/>
      <x:c r="P36" s="95"/>
      <x:c r="Q36" s="95"/>
      <x:c r="R36" s="95"/>
      <x:c r="S36" s="95"/>
      <x:c r="T36" s="95"/>
      <x:c r="U36" s="95"/>
    </x:row>
    <x:row r="37" spans="1:21" customHeight="1">
      <x:c r="A37" s="96" t="s">
        <x:v>100</x:v>
      </x:c>
      <x:c r="B37" s="96"/>
      <x:c r="C37" s="96"/>
      <x:c r="D37" s="97"/>
      <x:c r="E37" s="98">
        <x:v>4.056</x:v>
      </x:c>
      <x:c r="F37" s="97"/>
      <x:c r="G37" s="99"/>
      <x:c r="H37" s="100">
        <x:f t="shared" si="3"/>
        <x:v>4.056</x:v>
      </x:c>
      <x:c r="I37" s="101">
        <x:f>H37</x:f>
        <x:v>4.056</x:v>
      </x:c>
      <x:c r="M37" s="91"/>
      <x:c r="N37" s="91"/>
      <x:c r="O37" s="91"/>
      <x:c r="P37" s="92"/>
      <x:c r="Q37" s="92"/>
      <x:c r="R37" s="92"/>
      <x:c r="S37" s="92"/>
      <x:c r="T37" s="92"/>
      <x:c r="U37" s="92"/>
    </x:row>
    <x:row r="38" spans="1:21" customHeight="1">
      <x:c r="A38" s="96" t="s">
        <x:v>101</x:v>
      </x:c>
      <x:c r="B38" s="96"/>
      <x:c r="C38" s="96"/>
      <x:c r="D38" s="97"/>
      <x:c r="E38" s="98">
        <x:v>9.564</x:v>
      </x:c>
      <x:c r="F38" s="97"/>
      <x:c r="G38" s="99"/>
      <x:c r="H38" s="100">
        <x:f t="shared" si="3"/>
        <x:v>9.564</x:v>
      </x:c>
      <x:c r="I38" s="101">
        <x:f>H38</x:f>
        <x:v>9.564</x:v>
      </x:c>
      <x:c r="M38" s="102"/>
      <x:c r="N38" s="102"/>
      <x:c r="O38" s="102"/>
      <x:c r="P38" s="102"/>
      <x:c r="Q38" s="102"/>
      <x:c r="R38" s="102"/>
      <x:c r="S38" s="102"/>
      <x:c r="T38" s="103"/>
      <x:c r="U38" s="103"/>
    </x:row>
    <x:row r="39" spans="1:21" customHeight="1">
      <x:c r="A39" s="96" t="s">
        <x:v>53</x:v>
      </x:c>
      <x:c r="B39" s="96"/>
      <x:c r="C39" s="96"/>
      <x:c r="D39" s="96"/>
      <x:c r="E39" s="104">
        <x:f>SUM(E3:E38)</x:f>
        <x:v>1843.751</x:v>
      </x:c>
      <x:c r="F39" s="97">
        <x:f>SUM(F5:F38)</x:f>
        <x:v>325.94</x:v>
      </x:c>
      <x:c r="G39" s="97">
        <x:f>SUM(G5:G38)</x:f>
        <x:v>280.42</x:v>
      </x:c>
      <x:c r="H39" s="105">
        <x:f>SUM(H3:H38)</x:f>
        <x:v>1809.271</x:v>
      </x:c>
      <x:c r="I39" s="101">
        <x:f>SUM(I3:I38)</x:f>
        <x:v>1809.271</x:v>
      </x:c>
      <x:c r="M39" s="106"/>
      <x:c r="N39" s="106"/>
      <x:c r="O39" s="106"/>
      <x:c r="P39" s="106"/>
      <x:c r="Q39" s="106"/>
      <x:c r="R39" s="106"/>
      <x:c r="S39" s="106"/>
    </x:row>
    <x:row r="40" spans="1:21" customHeight="1">
      <x:c r="M40" s="106"/>
      <x:c r="N40" s="106"/>
      <x:c r="O40" s="106"/>
      <x:c r="P40" s="106"/>
      <x:c r="Q40" s="106"/>
      <x:c r="R40" s="106"/>
      <x:c r="S40" s="106"/>
    </x:row>
  </x:sheetData>
  <x:mergeCells count="17">
    <x:mergeCell ref="A1:I1"/>
    <x:mergeCell ref="M1:U1"/>
    <x:mergeCell ref="A37:B37"/>
    <x:mergeCell ref="M37:O37"/>
    <x:mergeCell ref="A38:B38"/>
    <x:mergeCell ref="A39:D39"/>
    <x:mergeCell ref="A3:A9"/>
    <x:mergeCell ref="A10:A16"/>
    <x:mergeCell ref="A17:A20"/>
    <x:mergeCell ref="A21:A22"/>
    <x:mergeCell ref="A23:A36"/>
    <x:mergeCell ref="I3:I9"/>
    <x:mergeCell ref="I10:I16"/>
    <x:mergeCell ref="I17:I20"/>
    <x:mergeCell ref="I21:I22"/>
    <x:mergeCell ref="I23:I36"/>
    <x:mergeCell ref="U26:U28"/>
  </x:mergeCells>
  <x:pageMargins left="0.75" right="0.75" top="1" bottom="1" header="0.5" footer="0.5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U18"/>
  <x:sheetViews>
    <x:sheetView topLeftCell="A3" workbookViewId="0">
      <x:selection activeCell="A1" sqref="A1:I18"/>
    </x:sheetView>
  </x:sheetViews>
  <x:sheetFormatPr defaultColWidth="11.375" defaultRowHeight="13.5"/>
  <x:cols>
    <x:col min="1" max="1" width="13.5" customWidth="1"/>
    <x:col min="2" max="2" width="9.875" customWidth="1"/>
    <x:col min="3" max="3" width="10.875" customWidth="1"/>
    <x:col min="4" max="4" width="10" customWidth="1"/>
    <x:col min="5" max="5" width="13.5" style="18" hidden="1" customWidth="1"/>
    <x:col min="6" max="7" width="13.5" hidden="1" customWidth="1"/>
    <x:col min="8" max="9" width="15" customWidth="1"/>
    <x:col min="10" max="16384" width="11.375" customWidth="1"/>
  </x:cols>
  <x:sheetData>
    <x:row r="1" spans="1:21" s="16" customFormat="1" ht="48" customHeight="1">
      <x:c r="A1" s="19" t="s">
        <x:v>102</x:v>
      </x:c>
      <x:c r="B1" s="19"/>
      <x:c r="C1" s="19"/>
      <x:c r="D1" s="19"/>
      <x:c r="E1" s="20"/>
      <x:c r="F1" s="19"/>
      <x:c r="G1" s="19"/>
      <x:c r="H1" s="19"/>
      <x:c r="I1" s="19"/>
      <x:c r="M1" s="21"/>
      <x:c r="N1" s="21"/>
      <x:c r="O1" s="21"/>
      <x:c r="P1" s="21"/>
      <x:c r="Q1" s="21"/>
      <x:c r="R1" s="21"/>
      <x:c r="S1" s="21"/>
      <x:c r="T1" s="21"/>
      <x:c r="U1" s="21"/>
    </x:row>
    <x:row r="2" spans="1:21" s="17" customFormat="1" ht="34" customHeight="1">
      <x:c r="A2" s="2" t="s">
        <x:v>58</x:v>
      </x:c>
      <x:c r="B2" s="22" t="s">
        <x:v>59</x:v>
      </x:c>
      <x:c r="C2" s="2" t="s">
        <x:v>60</x:v>
      </x:c>
      <x:c r="D2" s="23" t="s">
        <x:v>3</x:v>
      </x:c>
      <x:c r="E2" s="24" t="s">
        <x:v>4</x:v>
      </x:c>
      <x:c r="F2" s="2" t="s">
        <x:v>61</x:v>
      </x:c>
      <x:c r="G2" s="23" t="s">
        <x:v>6</x:v>
      </x:c>
      <x:c r="H2" s="25" t="s">
        <x:v>7</x:v>
      </x:c>
      <x:c r="I2" s="26" t="s">
        <x:v>8</x:v>
      </x:c>
      <x:c r="M2" s="27"/>
      <x:c r="N2" s="27"/>
      <x:c r="O2" s="27"/>
      <x:c r="P2" s="27"/>
      <x:c r="Q2" s="27"/>
      <x:c r="R2" s="27"/>
      <x:c r="S2" s="27"/>
      <x:c r="T2" s="27"/>
      <x:c r="U2" s="27"/>
    </x:row>
    <x:row r="3" spans="1:21" ht="33" customHeight="1">
      <x:c r="A3" s="28" t="s">
        <x:v>103</x:v>
      </x:c>
      <x:c r="B3" s="29" t="s">
        <x:v>104</x:v>
      </x:c>
      <x:c r="C3" s="30" t="s">
        <x:v>105</x:v>
      </x:c>
      <x:c r="D3" s="31">
        <x:v>28</x:v>
      </x:c>
      <x:c r="E3" s="32">
        <x:v>57.336</x:v>
      </x:c>
      <x:c r="F3" s="33"/>
      <x:c r="G3" s="34">
        <x:f>28.158</x:f>
        <x:v>28.158</x:v>
      </x:c>
      <x:c r="H3" s="35">
        <x:f t="shared" ref="H3:H11" si="0">E3+F3-G3</x:f>
        <x:v>29.178</x:v>
      </x:c>
      <x:c r="I3" s="36">
        <x:f>SUM(H3:H9)</x:f>
        <x:v>334.21</x:v>
      </x:c>
    </x:row>
    <x:row r="4" spans="1:21" ht="33" customHeight="1">
      <x:c r="A4" s="28"/>
      <x:c r="B4" s="29" t="s">
        <x:v>104</x:v>
      </x:c>
      <x:c r="C4" s="30" t="s">
        <x:v>106</x:v>
      </x:c>
      <x:c r="D4" s="31">
        <x:v>31</x:v>
      </x:c>
      <x:c r="E4" s="37">
        <x:v>70.922</x:v>
      </x:c>
      <x:c r="F4" s="38"/>
      <x:c r="G4" s="39"/>
      <x:c r="H4" s="35">
        <x:f t="shared" si="0"/>
        <x:v>70.922</x:v>
      </x:c>
      <x:c r="I4" s="36"/>
    </x:row>
    <x:row r="5" spans="1:21" ht="33" customHeight="1">
      <x:c r="A5" s="28"/>
      <x:c r="B5" s="29" t="s">
        <x:v>104</x:v>
      </x:c>
      <x:c r="C5" s="30" t="s">
        <x:v>107</x:v>
      </x:c>
      <x:c r="D5" s="31">
        <x:v>38</x:v>
      </x:c>
      <x:c r="E5" s="37">
        <x:v>55.716</x:v>
      </x:c>
      <x:c r="F5" s="38"/>
      <x:c r="G5" s="39"/>
      <x:c r="H5" s="35">
        <x:f t="shared" si="0"/>
        <x:v>55.716</x:v>
      </x:c>
      <x:c r="I5" s="36"/>
    </x:row>
    <x:row r="6" spans="1:21" ht="33" customHeight="1">
      <x:c r="A6" s="28"/>
      <x:c r="B6" s="29" t="s">
        <x:v>104</x:v>
      </x:c>
      <x:c r="C6" s="30" t="s">
        <x:v>108</x:v>
      </x:c>
      <x:c r="D6" s="31">
        <x:v>45</x:v>
      </x:c>
      <x:c r="E6" s="37">
        <x:v>15.336</x:v>
      </x:c>
      <x:c r="F6" s="38"/>
      <x:c r="G6" s="39"/>
      <x:c r="H6" s="35">
        <x:f t="shared" si="0"/>
        <x:v>15.336</x:v>
      </x:c>
      <x:c r="I6" s="36"/>
    </x:row>
    <x:row r="7" spans="1:21" ht="33" customHeight="1">
      <x:c r="A7" s="28"/>
      <x:c r="B7" s="29" t="s">
        <x:v>104</x:v>
      </x:c>
      <x:c r="C7" s="40">
        <x:v>5.9</x:v>
      </x:c>
      <x:c r="D7" s="41" t="s">
        <x:v>109</x:v>
      </x:c>
      <x:c r="E7" s="37">
        <x:v>28.892</x:v>
      </x:c>
      <x:c r="F7" s="38"/>
      <x:c r="G7" s="39"/>
      <x:c r="H7" s="35">
        <x:f t="shared" si="0"/>
        <x:v>28.892</x:v>
      </x:c>
      <x:c r="I7" s="36"/>
    </x:row>
    <x:row r="8" spans="1:21" ht="33" customHeight="1">
      <x:c r="A8" s="28"/>
      <x:c r="B8" s="29" t="s">
        <x:v>104</x:v>
      </x:c>
      <x:c r="C8" s="40">
        <x:v>6.7</x:v>
      </x:c>
      <x:c r="D8" s="41" t="s">
        <x:v>110</x:v>
      </x:c>
      <x:c r="E8" s="37">
        <x:v>67.144</x:v>
      </x:c>
      <x:c r="F8" s="38"/>
      <x:c r="G8" s="39"/>
      <x:c r="H8" s="35">
        <x:f t="shared" si="0"/>
        <x:v>67.144</x:v>
      </x:c>
      <x:c r="I8" s="36"/>
    </x:row>
    <x:row r="9" spans="1:21" ht="33" customHeight="1">
      <x:c r="A9" s="28"/>
      <x:c r="B9" s="29" t="s">
        <x:v>104</x:v>
      </x:c>
      <x:c r="C9" s="40">
        <x:v>6.95</x:v>
      </x:c>
      <x:c r="D9" s="41" t="s">
        <x:v>111</x:v>
      </x:c>
      <x:c r="E9" s="37">
        <x:v>67.022</x:v>
      </x:c>
      <x:c r="F9" s="38"/>
      <x:c r="G9" s="39"/>
      <x:c r="H9" s="35">
        <x:f t="shared" si="0"/>
        <x:v>67.022</x:v>
      </x:c>
      <x:c r="I9" s="36"/>
    </x:row>
    <x:row r="10" spans="1:21" ht="33" customHeight="1">
      <x:c r="A10" s="42" t="s">
        <x:v>112</x:v>
      </x:c>
      <x:c r="B10" s="29" t="s">
        <x:v>113</x:v>
      </x:c>
      <x:c r="C10" s="40">
        <x:v>5.9</x:v>
      </x:c>
      <x:c r="D10" s="41" t="s">
        <x:v>109</x:v>
      </x:c>
      <x:c r="E10" s="37"/>
      <x:c r="F10" s="38">
        <x:f>8.49+40.31+81.07</x:f>
        <x:v>129.87</x:v>
      </x:c>
      <x:c r="G10" s="39"/>
      <x:c r="H10" s="35">
        <x:f t="shared" si="0"/>
        <x:v>129.87</x:v>
      </x:c>
      <x:c r="I10" s="43">
        <x:f>SUM(H10:H17)</x:f>
        <x:v>982.56</x:v>
      </x:c>
    </x:row>
    <x:row r="11" spans="1:21" ht="33" customHeight="1">
      <x:c r="A11" s="44"/>
      <x:c r="B11" s="29" t="s">
        <x:v>113</x:v>
      </x:c>
      <x:c r="C11" s="40">
        <x:v>6.3</x:v>
      </x:c>
      <x:c r="D11" s="41" t="s">
        <x:v>109</x:v>
      </x:c>
      <x:c r="E11" s="37"/>
      <x:c r="F11" s="38">
        <x:f>93.01</x:f>
        <x:v>93.01</x:v>
      </x:c>
      <x:c r="G11" s="39">
        <x:f>10.86</x:f>
        <x:v>10.86</x:v>
      </x:c>
      <x:c r="H11" s="35">
        <x:f t="shared" si="0"/>
        <x:v>82.15</x:v>
      </x:c>
      <x:c r="I11" s="45"/>
    </x:row>
    <x:row r="12" spans="1:21" ht="33" customHeight="1">
      <x:c r="A12" s="44"/>
      <x:c r="B12" s="29" t="s">
        <x:v>113</x:v>
      </x:c>
      <x:c r="C12" s="40">
        <x:v>6.6</x:v>
      </x:c>
      <x:c r="D12" s="41" t="s">
        <x:v>114</x:v>
      </x:c>
      <x:c r="E12" s="37">
        <x:v>100.59</x:v>
      </x:c>
      <x:c r="F12" s="38"/>
      <x:c r="G12" s="39"/>
      <x:c r="H12" s="35">
        <x:f t="shared" ref="H12:H17" si="1">E12+F12-G12</x:f>
        <x:v>100.59</x:v>
      </x:c>
      <x:c r="I12" s="45"/>
    </x:row>
    <x:row r="13" spans="1:21" ht="33" customHeight="1">
      <x:c r="A13" s="44"/>
      <x:c r="B13" s="29" t="s">
        <x:v>113</x:v>
      </x:c>
      <x:c r="C13" s="40">
        <x:v>6.2</x:v>
      </x:c>
      <x:c r="D13" s="41" t="s">
        <x:v>115</x:v>
      </x:c>
      <x:c r="E13" s="37">
        <x:v>65.23</x:v>
      </x:c>
      <x:c r="F13" s="38"/>
      <x:c r="G13" s="39"/>
      <x:c r="H13" s="35">
        <x:f t="shared" si="1"/>
        <x:v>65.23</x:v>
      </x:c>
      <x:c r="I13" s="45"/>
    </x:row>
    <x:row r="14" spans="1:21" ht="33" customHeight="1">
      <x:c r="A14" s="44"/>
      <x:c r="B14" s="29" t="s">
        <x:v>113</x:v>
      </x:c>
      <x:c r="C14" s="40">
        <x:v>7.4</x:v>
      </x:c>
      <x:c r="D14" s="41" t="s">
        <x:v>115</x:v>
      </x:c>
      <x:c r="E14" s="37">
        <x:v>244.41</x:v>
      </x:c>
      <x:c r="F14" s="38">
        <x:f>146.42</x:f>
        <x:v>146.42</x:v>
      </x:c>
      <x:c r="G14" s="39">
        <x:f>15.7+18.84+12.56</x:f>
        <x:v>47.1</x:v>
      </x:c>
      <x:c r="H14" s="35">
        <x:f t="shared" si="1"/>
        <x:v>343.73</x:v>
      </x:c>
      <x:c r="I14" s="45"/>
    </x:row>
    <x:row r="15" spans="1:21" ht="33" customHeight="1">
      <x:c r="A15" s="44"/>
      <x:c r="B15" s="29" t="s">
        <x:v>113</x:v>
      </x:c>
      <x:c r="C15" s="40">
        <x:v>7.35</x:v>
      </x:c>
      <x:c r="D15" s="41" t="s">
        <x:v>116</x:v>
      </x:c>
      <x:c r="E15" s="37">
        <x:v>105.42</x:v>
      </x:c>
      <x:c r="F15" s="38"/>
      <x:c r="G15" s="39"/>
      <x:c r="H15" s="35">
        <x:f t="shared" si="1"/>
        <x:v>105.42</x:v>
      </x:c>
      <x:c r="I15" s="45"/>
    </x:row>
    <x:row r="16" spans="1:21" ht="33" customHeight="1">
      <x:c r="A16" s="44"/>
      <x:c r="B16" s="29" t="s">
        <x:v>113</x:v>
      </x:c>
      <x:c r="C16" s="40">
        <x:v>6.1</x:v>
      </x:c>
      <x:c r="D16" s="41" t="s">
        <x:v>116</x:v>
      </x:c>
      <x:c r="E16" s="37">
        <x:v>96.14</x:v>
      </x:c>
      <x:c r="F16" s="38"/>
      <x:c r="G16" s="39"/>
      <x:c r="H16" s="35">
        <x:f t="shared" si="1"/>
        <x:v>96.14</x:v>
      </x:c>
      <x:c r="I16" s="45"/>
    </x:row>
    <x:row r="17" spans="1:9" ht="33" customHeight="1">
      <x:c r="A17" s="46"/>
      <x:c r="B17" s="29" t="s">
        <x:v>113</x:v>
      </x:c>
      <x:c r="C17" s="40">
        <x:v>6.85</x:v>
      </x:c>
      <x:c r="D17" s="41" t="s">
        <x:v>117</x:v>
      </x:c>
      <x:c r="E17" s="37">
        <x:v>114.45</x:v>
      </x:c>
      <x:c r="F17" s="38"/>
      <x:c r="G17" s="39">
        <x:f>19.65+35.37</x:f>
        <x:v>55.02</x:v>
      </x:c>
      <x:c r="H17" s="35">
        <x:f t="shared" si="1"/>
        <x:v>59.43</x:v>
      </x:c>
      <x:c r="I17" s="47"/>
    </x:row>
    <x:row r="18" spans="1:9" ht="39" customHeight="1">
      <x:c r="A18" s="48" t="s">
        <x:v>8</x:v>
      </x:c>
      <x:c r="B18" s="48"/>
      <x:c r="C18" s="48"/>
      <x:c r="D18" s="48"/>
      <x:c r="E18" s="49">
        <x:f>SUM(E3:E17)</x:f>
        <x:v>1088.608</x:v>
      </x:c>
      <x:c r="F18" s="50">
        <x:f>SUM(F3:F17)</x:f>
        <x:v>369.3</x:v>
      </x:c>
      <x:c r="G18" s="50">
        <x:f>SUM(G3:G17)</x:f>
        <x:v>141.138</x:v>
      </x:c>
      <x:c r="H18" s="51">
        <x:f>SUM(H3:H17)</x:f>
        <x:v>1316.77</x:v>
      </x:c>
      <x:c r="I18" s="52">
        <x:f>SUM(I3:I17)</x:f>
        <x:v>1316.77</x:v>
      </x:c>
    </x:row>
  </x:sheetData>
  <x:mergeCells count="7">
    <x:mergeCell ref="A1:I1"/>
    <x:mergeCell ref="M1:U1"/>
    <x:mergeCell ref="A18:D18"/>
    <x:mergeCell ref="A3:A9"/>
    <x:mergeCell ref="A10:A17"/>
    <x:mergeCell ref="I3:I9"/>
    <x:mergeCell ref="I10:I17"/>
  </x:mergeCells>
  <x:pageMargins left="0.75" right="0.75" top="1" bottom="1" header="0.5" footer="0.5"/>
  <x:pageSetup paperSize="9" orientation="portrait"/>
  <x:headerFooter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7"/>
  <x:sheetViews>
    <x:sheetView workbookViewId="0">
      <x:selection activeCell="C38" sqref="C38"/>
    </x:sheetView>
  </x:sheetViews>
  <x:sheetFormatPr defaultColWidth="8.89166666666667" defaultRowHeight="13.5" outlineLevelCol="5"/>
  <x:cols>
    <x:col min="1" max="1" width="13.1083333333333" customWidth="1"/>
    <x:col min="2" max="2" width="12.5583333333333" customWidth="1"/>
    <x:col min="3" max="3" width="12.8916666666667" customWidth="1"/>
    <x:col min="4" max="4" width="13.775" customWidth="1"/>
    <x:col min="5" max="5" width="16" customWidth="1"/>
    <x:col min="6" max="6" width="17.6666666666667" customWidth="1"/>
  </x:cols>
  <x:sheetData>
    <x:row r="1" spans="1:6" ht="30" customHeight="1">
      <x:c r="A1" s="1" t="s">
        <x:v>118</x:v>
      </x:c>
      <x:c r="B1" s="1"/>
      <x:c r="C1" s="1"/>
      <x:c r="D1" s="1"/>
      <x:c r="E1" s="1"/>
      <x:c r="F1" s="1"/>
    </x:row>
    <x:row r="2" spans="1:6" ht="30" customHeight="1">
      <x:c r="A2" s="2" t="s">
        <x:v>58</x:v>
      </x:c>
      <x:c r="B2" s="2" t="s">
        <x:v>2</x:v>
      </x:c>
      <x:c r="C2" s="2" t="s">
        <x:v>3</x:v>
      </x:c>
      <x:c r="D2" s="2" t="s">
        <x:v>119</x:v>
      </x:c>
      <x:c r="E2" s="2" t="s">
        <x:v>7</x:v>
      </x:c>
      <x:c r="F2" s="2" t="s">
        <x:v>8</x:v>
      </x:c>
    </x:row>
    <x:row r="3" spans="1:6" ht="30" hidden="1" customHeight="1">
      <x:c r="A3" s="2" t="s">
        <x:v>9</x:v>
      </x:c>
      <x:c r="B3" s="2" t="s">
        <x:v>120</x:v>
      </x:c>
      <x:c r="C3" s="2" t="s">
        <x:v>121</x:v>
      </x:c>
      <x:c r="D3" s="5" t="s">
        <x:v>122</x:v>
      </x:c>
      <x:c r="E3" s="4">
        <x:v>0</x:v>
      </x:c>
      <x:c r="F3" s="4">
        <x:f>SUM(E3:E5)</x:f>
        <x:v>0</x:v>
      </x:c>
    </x:row>
    <x:row r="4" spans="1:6" ht="30" hidden="1" customHeight="1">
      <x:c r="A4" s="2"/>
      <x:c r="B4" s="2" t="s">
        <x:v>120</x:v>
      </x:c>
      <x:c r="C4" s="2" t="s">
        <x:v>121</x:v>
      </x:c>
      <x:c r="D4" s="5" t="s">
        <x:v>122</x:v>
      </x:c>
      <x:c r="E4" s="4"/>
      <x:c r="F4" s="4"/>
    </x:row>
    <x:row r="5" spans="1:6" ht="30" hidden="1" customHeight="1">
      <x:c r="A5" s="2"/>
      <x:c r="B5" s="2" t="s">
        <x:v>123</x:v>
      </x:c>
      <x:c r="C5" s="2"/>
      <x:c r="D5" s="5"/>
      <x:c r="E5" s="4">
        <x:v>0</x:v>
      </x:c>
      <x:c r="F5" s="4"/>
    </x:row>
    <x:row r="6" spans="1:6" ht="30" hidden="1" customHeight="1">
      <x:c r="A6" s="2" t="s">
        <x:v>68</x:v>
      </x:c>
      <x:c r="B6" s="11" t="s">
        <x:v>120</x:v>
      </x:c>
      <x:c r="C6" s="12" t="s">
        <x:v>124</x:v>
      </x:c>
      <x:c r="D6" s="12" t="s">
        <x:v>122</x:v>
      </x:c>
      <x:c r="E6" s="13">
        <x:f>34.3+37.4-7.8-63.9</x:f>
        <x:v>0</x:v>
      </x:c>
      <x:c r="F6" s="4">
        <x:f>SUM(E6:E7)</x:f>
        <x:v>27.3</x:v>
      </x:c>
    </x:row>
    <x:row r="7" spans="1:6" ht="30" customHeight="1">
      <x:c r="A7" s="2"/>
      <x:c r="B7" s="2" t="s">
        <x:v>125</x:v>
      </x:c>
      <x:c r="C7" s="2" t="s">
        <x:v>126</x:v>
      </x:c>
      <x:c r="D7" s="2" t="s">
        <x:v>122</x:v>
      </x:c>
      <x:c r="E7" s="4">
        <x:v>27.3</x:v>
      </x:c>
      <x:c r="F7" s="4"/>
    </x:row>
    <x:row r="8" spans="1:6" ht="30" hidden="1" customHeight="1">
      <x:c r="A8" s="2" t="s">
        <x:v>76</x:v>
      </x:c>
      <x:c r="B8" s="5" t="s">
        <x:v>120</x:v>
      </x:c>
      <x:c r="C8" s="5" t="s">
        <x:v>99</x:v>
      </x:c>
      <x:c r="D8" s="2" t="s">
        <x:v>122</x:v>
      </x:c>
      <x:c r="E8" s="14">
        <x:f>7.57+27.66-35.23</x:f>
        <x:v>0</x:v>
      </x:c>
      <x:c r="F8" s="4">
        <x:f>SUM(E8:E9)</x:f>
        <x:v>0</x:v>
      </x:c>
    </x:row>
    <x:row r="9" spans="1:6" ht="30" hidden="1" customHeight="1">
      <x:c r="A9" s="2"/>
      <x:c r="B9" s="5" t="s">
        <x:v>120</x:v>
      </x:c>
      <x:c r="C9" s="11" t="s">
        <x:v>127</x:v>
      </x:c>
      <x:c r="D9" s="2" t="s">
        <x:v>122</x:v>
      </x:c>
      <x:c r="E9" s="11">
        <x:f>32.89-20.69-12.2</x:f>
        <x:v>0</x:v>
      </x:c>
      <x:c r="F9" s="4"/>
    </x:row>
    <x:row r="10" spans="1:6" ht="30" hidden="1" customHeight="1">
      <x:c r="A10" s="2" t="s">
        <x:v>128</x:v>
      </x:c>
      <x:c r="B10" s="5" t="s">
        <x:v>120</x:v>
      </x:c>
      <x:c r="C10" s="11" t="s">
        <x:v>99</x:v>
      </x:c>
      <x:c r="D10" s="2" t="s">
        <x:v>122</x:v>
      </x:c>
      <x:c r="E10" s="11">
        <x:f>34.32-34.32</x:f>
        <x:v>0</x:v>
      </x:c>
      <x:c r="F10" s="4">
        <x:f>SUM(E10:E11)</x:f>
        <x:v>0</x:v>
      </x:c>
    </x:row>
    <x:row r="11" spans="1:6" ht="30" hidden="1" customHeight="1">
      <x:c r="A11" s="2"/>
      <x:c r="B11" s="5" t="s">
        <x:v>120</x:v>
      </x:c>
      <x:c r="C11" s="11" t="s">
        <x:v>127</x:v>
      </x:c>
      <x:c r="D11" s="2" t="s">
        <x:v>122</x:v>
      </x:c>
      <x:c r="E11" s="11">
        <x:f>20.69+11.86-32.55</x:f>
        <x:v>0</x:v>
      </x:c>
      <x:c r="F11" s="4"/>
    </x:row>
    <x:row r="12" spans="1:6" ht="30" hidden="1" customHeight="1">
      <x:c r="A12" s="2" t="s">
        <x:v>84</x:v>
      </x:c>
      <x:c r="B12" s="5" t="s">
        <x:v>120</x:v>
      </x:c>
      <x:c r="C12" s="11" t="s">
        <x:v>99</x:v>
      </x:c>
      <x:c r="D12" s="2" t="s">
        <x:v>122</x:v>
      </x:c>
      <x:c r="E12" s="11">
        <x:f>33.99-33.99</x:f>
        <x:v>0</x:v>
      </x:c>
      <x:c r="F12" s="4">
        <x:f>SUM(E12:E13)</x:f>
        <x:v>0</x:v>
      </x:c>
    </x:row>
    <x:row r="13" spans="1:6" ht="30" hidden="1" customHeight="1">
      <x:c r="A13" s="2"/>
      <x:c r="B13" s="5" t="s">
        <x:v>120</x:v>
      </x:c>
      <x:c r="C13" s="11" t="s">
        <x:v>127</x:v>
      </x:c>
      <x:c r="D13" s="2" t="s">
        <x:v>122</x:v>
      </x:c>
      <x:c r="E13" s="11">
        <x:f>32.5-32.5</x:f>
        <x:v>0</x:v>
      </x:c>
      <x:c r="F13" s="4"/>
    </x:row>
    <x:row r="14" spans="1:6" ht="30" hidden="1" customHeight="1">
      <x:c r="A14" s="15" t="s">
        <x:v>47</x:v>
      </x:c>
      <x:c r="B14" s="5" t="s">
        <x:v>120</x:v>
      </x:c>
      <x:c r="C14" s="11" t="s">
        <x:v>99</x:v>
      </x:c>
      <x:c r="D14" s="2" t="s">
        <x:v>122</x:v>
      </x:c>
      <x:c r="E14" s="11">
        <x:f>34.4-31.94-2.46</x:f>
        <x:v>0</x:v>
      </x:c>
      <x:c r="F14" s="4">
        <x:f>SUM(E14:E16)</x:f>
        <x:v>10.76</x:v>
      </x:c>
    </x:row>
    <x:row r="15" spans="1:6" ht="30" hidden="1" customHeight="1">
      <x:c r="A15" s="15"/>
      <x:c r="B15" s="5" t="s">
        <x:v>120</x:v>
      </x:c>
      <x:c r="C15" s="11" t="s">
        <x:v>127</x:v>
      </x:c>
      <x:c r="D15" s="2" t="s">
        <x:v>122</x:v>
      </x:c>
      <x:c r="E15" s="11">
        <x:f>33.8-33.8</x:f>
        <x:v>0</x:v>
      </x:c>
      <x:c r="F15" s="4"/>
    </x:row>
    <x:row r="16" spans="1:6" ht="30" customHeight="1">
      <x:c r="A16" s="2"/>
      <x:c r="B16" s="2" t="s">
        <x:v>125</x:v>
      </x:c>
      <x:c r="C16" s="2" t="s">
        <x:v>129</x:v>
      </x:c>
      <x:c r="D16" s="2" t="s">
        <x:v>122</x:v>
      </x:c>
      <x:c r="E16" s="4">
        <x:v>10.76</x:v>
      </x:c>
      <x:c r="F16" s="4"/>
    </x:row>
    <x:row r="17" spans="1:6" ht="30" customHeight="1">
      <x:c r="A17" s="2" t="s">
        <x:v>53</x:v>
      </x:c>
      <x:c r="B17" s="2"/>
      <x:c r="C17" s="2"/>
      <x:c r="D17" s="2"/>
      <x:c r="E17" s="4">
        <x:f>SUM(E3:E16)</x:f>
        <x:v>38.06</x:v>
      </x:c>
      <x:c r="F17" s="4">
        <x:f ca="1">SUM(F3:F9:F16)</x:f>
        <x:v>38.06</x:v>
      </x:c>
    </x:row>
  </x:sheetData>
  <x:mergeCells count="14">
    <x:mergeCell ref="A1:F1"/>
    <x:mergeCell ref="A17:D17"/>
    <x:mergeCell ref="A3:A5"/>
    <x:mergeCell ref="A6:A7"/>
    <x:mergeCell ref="A8:A9"/>
    <x:mergeCell ref="A10:A11"/>
    <x:mergeCell ref="A12:A13"/>
    <x:mergeCell ref="A14:A16"/>
    <x:mergeCell ref="F3:F5"/>
    <x:mergeCell ref="F6:F7"/>
    <x:mergeCell ref="F8:F9"/>
    <x:mergeCell ref="F10:F11"/>
    <x:mergeCell ref="F12:F13"/>
    <x:mergeCell ref="F14:F16"/>
  </x:mergeCells>
  <x:pageMargins left="0.75" right="0.75" top="1" bottom="1" header="0.5" footer="0.5"/>
  <x:pageSetup paperSize="9" orientation="portrait"/>
  <x:headerFooter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9"/>
  <x:sheetViews>
    <x:sheetView workbookViewId="0">
      <x:selection activeCell="B13" sqref="B13"/>
    </x:sheetView>
  </x:sheetViews>
  <x:sheetFormatPr defaultColWidth="12.775" defaultRowHeight="37" customHeight="1" outlineLevelCol="5"/>
  <x:cols>
    <x:col min="1" max="16384" width="12.775" customWidth="1"/>
  </x:cols>
  <x:sheetData>
    <x:row r="1" spans="1:6" customHeight="1">
      <x:c r="A1" s="1" t="s">
        <x:v>130</x:v>
      </x:c>
      <x:c r="B1" s="1"/>
      <x:c r="C1" s="1"/>
      <x:c r="D1" s="1"/>
      <x:c r="E1" s="1"/>
      <x:c r="F1" s="1"/>
    </x:row>
    <x:row r="2" spans="1:6" customHeight="1">
      <x:c r="A2" s="2" t="s">
        <x:v>58</x:v>
      </x:c>
      <x:c r="B2" s="2" t="s">
        <x:v>2</x:v>
      </x:c>
      <x:c r="C2" s="2" t="s">
        <x:v>3</x:v>
      </x:c>
      <x:c r="D2" s="2" t="s">
        <x:v>119</x:v>
      </x:c>
      <x:c r="E2" s="2" t="s">
        <x:v>7</x:v>
      </x:c>
      <x:c r="F2" s="2" t="s">
        <x:v>8</x:v>
      </x:c>
    </x:row>
    <x:row r="3" spans="1:6" hidden="1" customHeight="1">
      <x:c r="A3" s="2" t="s">
        <x:v>9</x:v>
      </x:c>
      <x:c r="B3" s="2" t="s">
        <x:v>131</x:v>
      </x:c>
      <x:c r="C3" s="4">
        <x:v>65</x:v>
      </x:c>
      <x:c r="D3" s="5" t="s">
        <x:v>132</x:v>
      </x:c>
      <x:c r="E3" s="4">
        <x:v>0</x:v>
      </x:c>
      <x:c r="F3" s="4">
        <x:f>SUM(E3:E3)</x:f>
        <x:v>0</x:v>
      </x:c>
    </x:row>
    <x:row r="4" spans="1:6" hidden="1" customHeight="1">
      <x:c r="A4" s="2" t="s">
        <x:v>68</x:v>
      </x:c>
      <x:c r="B4" s="2" t="s">
        <x:v>131</x:v>
      </x:c>
      <x:c r="C4" s="2" t="s">
        <x:v>133</x:v>
      </x:c>
      <x:c r="D4" s="2" t="s">
        <x:v>132</x:v>
      </x:c>
      <x:c r="E4" s="4">
        <x:f>35.1-35.1</x:f>
        <x:v>0</x:v>
      </x:c>
      <x:c r="F4" s="4">
        <x:f>E4</x:f>
        <x:v>0</x:v>
      </x:c>
    </x:row>
    <x:row r="5" spans="1:6" hidden="1" customHeight="1">
      <x:c r="A5" s="2" t="s">
        <x:v>76</x:v>
      </x:c>
      <x:c r="B5" s="2" t="s">
        <x:v>131</x:v>
      </x:c>
      <x:c r="C5" s="2" t="s">
        <x:v>99</x:v>
      </x:c>
      <x:c r="D5" s="2" t="s">
        <x:v>132</x:v>
      </x:c>
      <x:c r="E5" s="4">
        <x:f>31.68-22.59-9.09</x:f>
        <x:v>0</x:v>
      </x:c>
      <x:c r="F5" s="4">
        <x:f>E5</x:f>
        <x:v>0</x:v>
      </x:c>
    </x:row>
    <x:row r="6" spans="1:6" ht="41" hidden="1" customHeight="1">
      <x:c r="A6" s="2" t="s">
        <x:v>128</x:v>
      </x:c>
      <x:c r="B6" s="2" t="s">
        <x:v>131</x:v>
      </x:c>
      <x:c r="C6" s="2" t="s">
        <x:v>99</x:v>
      </x:c>
      <x:c r="D6" s="2" t="s">
        <x:v>132</x:v>
      </x:c>
      <x:c r="E6" s="4">
        <x:f>22.59+9.09-31.68</x:f>
        <x:v>0</x:v>
      </x:c>
      <x:c r="F6" s="4">
        <x:f>E6</x:f>
        <x:v>0</x:v>
      </x:c>
    </x:row>
    <x:row r="7" spans="1:6" hidden="1" customHeight="1">
      <x:c r="A7" s="2" t="s">
        <x:v>84</x:v>
      </x:c>
      <x:c r="B7" s="2" t="s">
        <x:v>131</x:v>
      </x:c>
      <x:c r="C7" s="2" t="s">
        <x:v>99</x:v>
      </x:c>
      <x:c r="D7" s="2" t="s">
        <x:v>132</x:v>
      </x:c>
      <x:c r="E7" s="4">
        <x:v>0</x:v>
      </x:c>
      <x:c r="F7" s="4">
        <x:f>E7</x:f>
        <x:v>0</x:v>
      </x:c>
    </x:row>
    <x:row r="8" spans="1:6" customHeight="1">
      <x:c r="A8" s="2" t="s">
        <x:v>134</x:v>
      </x:c>
      <x:c r="B8" s="2" t="s">
        <x:v>131</x:v>
      </x:c>
      <x:c r="C8" s="2" t="s">
        <x:v>99</x:v>
      </x:c>
      <x:c r="D8" s="2" t="s">
        <x:v>132</x:v>
      </x:c>
      <x:c r="E8" s="4">
        <x:f>31.2+2.14-33.34</x:f>
        <x:v>0</x:v>
      </x:c>
      <x:c r="F8" s="4">
        <x:v>0</x:v>
      </x:c>
    </x:row>
    <x:row r="9" spans="1:6" customHeight="1">
      <x:c r="A9" s="2" t="s">
        <x:v>53</x:v>
      </x:c>
      <x:c r="B9" s="2"/>
      <x:c r="C9" s="2"/>
      <x:c r="D9" s="2"/>
      <x:c r="E9" s="4"/>
      <x:c r="F9" s="4">
        <x:f>SUM(F3:F8)</x:f>
        <x:v>0</x:v>
      </x:c>
    </x:row>
  </x:sheetData>
  <x:mergeCells count="2">
    <x:mergeCell ref="A1:F1"/>
    <x:mergeCell ref="A9:D9"/>
  </x:mergeCells>
  <x:pageMargins left="0.75" right="0.75" top="1" bottom="1" header="0.5" footer="0.5"/>
  <x:pageSetup paperSize="9" orientation="portrait"/>
  <x:headerFooter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5"/>
  <x:sheetViews>
    <x:sheetView tabSelected="1" workbookViewId="0">
      <x:selection activeCell="A1" sqref="A1:F15"/>
    </x:sheetView>
  </x:sheetViews>
  <x:sheetFormatPr defaultColWidth="11" defaultRowHeight="27" customHeight="1" outlineLevelCol="5"/>
  <x:cols>
    <x:col min="1" max="4" width="11" customWidth="1"/>
    <x:col min="5" max="5" width="12.125" customWidth="1"/>
    <x:col min="6" max="6" width="14.75" customWidth="1"/>
    <x:col min="7" max="16384" width="11" customWidth="1"/>
  </x:cols>
  <x:sheetData>
    <x:row r="1" spans="1:6" customHeight="1">
      <x:c r="A1" s="1" t="s">
        <x:v>135</x:v>
      </x:c>
      <x:c r="B1" s="1"/>
      <x:c r="C1" s="1"/>
      <x:c r="D1" s="1"/>
      <x:c r="E1" s="1"/>
      <x:c r="F1" s="1"/>
    </x:row>
    <x:row r="2" spans="1:6" customHeight="1">
      <x:c r="A2" s="2" t="s">
        <x:v>58</x:v>
      </x:c>
      <x:c r="B2" s="2" t="s">
        <x:v>2</x:v>
      </x:c>
      <x:c r="C2" s="2" t="s">
        <x:v>3</x:v>
      </x:c>
      <x:c r="D2" s="2" t="s">
        <x:v>119</x:v>
      </x:c>
      <x:c r="E2" s="2" t="s">
        <x:v>7</x:v>
      </x:c>
      <x:c r="F2" s="2" t="s">
        <x:v>8</x:v>
      </x:c>
    </x:row>
    <x:row r="3" spans="1:6" customHeight="1">
      <x:c r="A3" s="3" t="s">
        <x:v>9</x:v>
      </x:c>
      <x:c r="B3" s="2" t="s">
        <x:v>136</x:v>
      </x:c>
      <x:c r="C3" s="4">
        <x:v>65</x:v>
      </x:c>
      <x:c r="D3" s="5" t="s">
        <x:v>137</x:v>
      </x:c>
      <x:c r="E3" s="4">
        <x:v>28.423</x:v>
      </x:c>
      <x:c r="F3" s="6">
        <x:f>SUM(E3:E4)</x:f>
        <x:v>34.017</x:v>
      </x:c>
    </x:row>
    <x:row r="4" spans="1:6" customHeight="1">
      <x:c r="A4" s="7"/>
      <x:c r="B4" s="2" t="s">
        <x:v>136</x:v>
      </x:c>
      <x:c r="C4" s="4">
        <x:v>50</x:v>
      </x:c>
      <x:c r="D4" s="2" t="s">
        <x:v>137</x:v>
      </x:c>
      <x:c r="E4" s="4">
        <x:v>5.594</x:v>
      </x:c>
      <x:c r="F4" s="8"/>
    </x:row>
    <x:row r="5" spans="1:6" hidden="1" customHeight="1">
      <x:c r="A5" s="9" t="s">
        <x:v>68</x:v>
      </x:c>
      <x:c r="B5" s="2" t="s">
        <x:v>136</x:v>
      </x:c>
      <x:c r="C5" s="4" t="s">
        <x:v>138</x:v>
      </x:c>
      <x:c r="D5" s="2" t="s">
        <x:v>137</x:v>
      </x:c>
      <x:c r="E5" s="4"/>
      <x:c r="F5" s="6">
        <x:f>SUM(E5:E6)</x:f>
        <x:v>0</x:v>
      </x:c>
    </x:row>
    <x:row r="6" spans="1:6" hidden="1" customHeight="1">
      <x:c r="A6" s="7"/>
      <x:c r="B6" s="2" t="s">
        <x:v>136</x:v>
      </x:c>
      <x:c r="C6" s="2" t="s">
        <x:v>133</x:v>
      </x:c>
      <x:c r="D6" s="2" t="s">
        <x:v>137</x:v>
      </x:c>
      <x:c r="E6" s="4"/>
      <x:c r="F6" s="8"/>
    </x:row>
    <x:row r="7" spans="1:6" hidden="1" customHeight="1">
      <x:c r="A7" s="9" t="s">
        <x:v>76</x:v>
      </x:c>
      <x:c r="B7" s="2" t="s">
        <x:v>136</x:v>
      </x:c>
      <x:c r="C7" s="2" t="s">
        <x:v>139</x:v>
      </x:c>
      <x:c r="D7" s="2" t="s">
        <x:v>137</x:v>
      </x:c>
      <x:c r="E7" s="4"/>
      <x:c r="F7" s="6">
        <x:f>SUM(E7:E8)</x:f>
        <x:v>0</x:v>
      </x:c>
    </x:row>
    <x:row r="8" spans="1:6" hidden="1" customHeight="1">
      <x:c r="A8" s="7"/>
      <x:c r="B8" s="2" t="s">
        <x:v>136</x:v>
      </x:c>
      <x:c r="C8" s="2" t="s">
        <x:v>140</x:v>
      </x:c>
      <x:c r="D8" s="2" t="s">
        <x:v>137</x:v>
      </x:c>
      <x:c r="E8" s="4"/>
      <x:c r="F8" s="8"/>
    </x:row>
    <x:row r="9" spans="1:6" hidden="1" customHeight="1">
      <x:c r="A9" s="9" t="s">
        <x:v>128</x:v>
      </x:c>
      <x:c r="B9" s="2" t="s">
        <x:v>136</x:v>
      </x:c>
      <x:c r="C9" s="2" t="s">
        <x:v>139</x:v>
      </x:c>
      <x:c r="D9" s="2" t="s">
        <x:v>137</x:v>
      </x:c>
      <x:c r="E9" s="4"/>
      <x:c r="F9" s="6">
        <x:f>SUM(E9:E10)</x:f>
        <x:v>0</x:v>
      </x:c>
    </x:row>
    <x:row r="10" spans="1:6" hidden="1" customHeight="1">
      <x:c r="A10" s="7"/>
      <x:c r="B10" s="2" t="s">
        <x:v>136</x:v>
      </x:c>
      <x:c r="C10" s="2" t="s">
        <x:v>140</x:v>
      </x:c>
      <x:c r="D10" s="2" t="s">
        <x:v>137</x:v>
      </x:c>
      <x:c r="E10" s="4"/>
      <x:c r="F10" s="8"/>
    </x:row>
    <x:row r="11" spans="1:6" hidden="1" customHeight="1">
      <x:c r="A11" s="9" t="s">
        <x:v>84</x:v>
      </x:c>
      <x:c r="B11" s="2" t="s">
        <x:v>136</x:v>
      </x:c>
      <x:c r="C11" s="2" t="s">
        <x:v>139</x:v>
      </x:c>
      <x:c r="D11" s="2" t="s">
        <x:v>137</x:v>
      </x:c>
      <x:c r="E11" s="4"/>
      <x:c r="F11" s="6">
        <x:f>SUM(E11:E12)</x:f>
        <x:v>0</x:v>
      </x:c>
    </x:row>
    <x:row r="12" spans="1:6" hidden="1" customHeight="1">
      <x:c r="A12" s="7"/>
      <x:c r="B12" s="2" t="s">
        <x:v>136</x:v>
      </x:c>
      <x:c r="C12" s="2" t="s">
        <x:v>140</x:v>
      </x:c>
      <x:c r="D12" s="2" t="s">
        <x:v>137</x:v>
      </x:c>
      <x:c r="E12" s="4"/>
      <x:c r="F12" s="8"/>
    </x:row>
    <x:row r="13" spans="1:6" hidden="1" customHeight="1">
      <x:c r="A13" s="9" t="s">
        <x:v>134</x:v>
      </x:c>
      <x:c r="B13" s="2" t="s">
        <x:v>136</x:v>
      </x:c>
      <x:c r="C13" s="2" t="s">
        <x:v>139</x:v>
      </x:c>
      <x:c r="D13" s="2" t="s">
        <x:v>137</x:v>
      </x:c>
      <x:c r="E13" s="4"/>
      <x:c r="F13" s="6">
        <x:f>SUM(E13:E14)</x:f>
        <x:v>0</x:v>
      </x:c>
    </x:row>
    <x:row r="14" spans="1:6" ht="32" hidden="1" customHeight="1">
      <x:c r="A14" s="7"/>
      <x:c r="B14" s="2" t="s">
        <x:v>136</x:v>
      </x:c>
      <x:c r="C14" s="2" t="s">
        <x:v>140</x:v>
      </x:c>
      <x:c r="D14" s="2" t="s">
        <x:v>137</x:v>
      </x:c>
      <x:c r="E14" s="4"/>
      <x:c r="F14" s="8"/>
    </x:row>
    <x:row r="15" spans="1:6" customHeight="1">
      <x:c r="A15" s="2" t="s">
        <x:v>53</x:v>
      </x:c>
      <x:c r="B15" s="2"/>
      <x:c r="C15" s="2"/>
      <x:c r="D15" s="2"/>
      <x:c r="E15" s="4"/>
      <x:c r="F15" s="10">
        <x:f>SUM(F3:F14)</x:f>
        <x:v>34.017</x:v>
      </x:c>
    </x:row>
  </x:sheetData>
  <x:mergeCells count="14">
    <x:mergeCell ref="A1:F1"/>
    <x:mergeCell ref="A15:D15"/>
    <x:mergeCell ref="A3:A4"/>
    <x:mergeCell ref="A5:A6"/>
    <x:mergeCell ref="A7:A8"/>
    <x:mergeCell ref="A9:A10"/>
    <x:mergeCell ref="A11:A12"/>
    <x:mergeCell ref="A13:A14"/>
    <x:mergeCell ref="F3:F4"/>
    <x:mergeCell ref="F5:F6"/>
    <x:mergeCell ref="F7:F8"/>
    <x:mergeCell ref="F9:F10"/>
    <x:mergeCell ref="F11:F12"/>
    <x:mergeCell ref="F13:F14"/>
  </x:mergeCells>
  <x:pageMargins left="0.75" right="0.75" top="1" bottom="1" header="0.5" footer="0.5"/>
  <x:pageSetup paperSize="9" orientation="portrait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溯源</vt:lpstr>
      <vt:lpstr>凯亚</vt:lpstr>
      <vt:lpstr>导轨钢</vt:lpstr>
      <vt:lpstr>易合</vt:lpstr>
      <vt:lpstr>高齿</vt:lpstr>
      <vt:lpstr>马强济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2025-04-02T06:50:00Z</dcterms:created>
  <dcterms:modified xsi:type="dcterms:W3CDTF">2026-05-12T00:14:04Z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6C30209E2EB844DF8B018924CA623235_13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