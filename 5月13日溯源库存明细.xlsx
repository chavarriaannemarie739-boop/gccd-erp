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<sst xmlns="http://schemas.openxmlformats.org/spreadsheetml/2006/main" count="156" uniqueCount="50">
  <si>
    <t xml:space="preserve">2026年5月13日溯源钢管库存明细 </t>
  </si>
  <si>
    <t>岗位</t>
  </si>
  <si>
    <t>品种</t>
  </si>
  <si>
    <t>型号</t>
  </si>
  <si>
    <t>上月库存</t>
  </si>
  <si>
    <t>今日产量</t>
  </si>
  <si>
    <t>下工序产量</t>
  </si>
  <si>
    <t>吨位</t>
  </si>
  <si>
    <t>合计吨位</t>
  </si>
  <si>
    <t>圆钢</t>
  </si>
  <si>
    <t>55宣钢</t>
  </si>
  <si>
    <t>70宣钢</t>
  </si>
  <si>
    <t>55潍坊</t>
  </si>
  <si>
    <t>50富伦</t>
  </si>
  <si>
    <t>50巨能</t>
  </si>
  <si>
    <t>55巨能</t>
  </si>
  <si>
    <t>50邯钢</t>
  </si>
  <si>
    <t>55邯钢</t>
  </si>
  <si>
    <t>60邯钢</t>
  </si>
  <si>
    <t>70邯钢</t>
  </si>
  <si>
    <t>50澳森</t>
  </si>
  <si>
    <t>52澳森</t>
  </si>
  <si>
    <t>55澳森</t>
  </si>
  <si>
    <t>70澳森</t>
  </si>
  <si>
    <t>断钢
待穿孔</t>
  </si>
  <si>
    <t>50宣钢</t>
  </si>
  <si>
    <t>50*1.2</t>
  </si>
  <si>
    <t>55*1.2</t>
  </si>
  <si>
    <t>60宣钢</t>
  </si>
  <si>
    <t>60*1.2</t>
  </si>
  <si>
    <t>70*1.2</t>
  </si>
  <si>
    <t>80巨能</t>
  </si>
  <si>
    <t>80*1.244</t>
  </si>
  <si>
    <t>80宣钢</t>
  </si>
  <si>
    <t>80*1.2</t>
  </si>
  <si>
    <t>穿孔待球化</t>
  </si>
  <si>
    <t>51*5</t>
  </si>
  <si>
    <t>53*6.5</t>
  </si>
  <si>
    <t>57*5</t>
  </si>
  <si>
    <t>63*5</t>
  </si>
  <si>
    <t>63*6.3</t>
  </si>
  <si>
    <t>58*8</t>
  </si>
  <si>
    <t>74*6.3</t>
  </si>
  <si>
    <t>83*7</t>
  </si>
  <si>
    <t>球化待矫直</t>
  </si>
  <si>
    <t>53*7.5</t>
  </si>
  <si>
    <t>矫直待
酸洗</t>
  </si>
  <si>
    <t>酸洗
成品</t>
  </si>
  <si>
    <t>51*4</t>
  </si>
  <si>
    <t>总计：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</si>
</sst>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6"/>
      <color theme="1"/>
      <name val="宋体"/>
      <charset val="134"/>
    </font>
    <font>
      <b/>
      <sz val="18"/>
      <color theme="1"/>
      <name val="宋体"/>
      <charset val="134"/>
    </font>
    <font>
      <b/>
      <sz val="18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name val="宋体"/>
      <charset val="134"/>
    </font>
    <font>
      <b/>
      <sz val="18"/>
      <color rgb="FF7030A0"/>
      <name val="宋体"/>
      <charset val="134"/>
    </font>
    <font>
      <b/>
      <sz val="18"/>
      <color theme="5"/>
      <name val="宋体"/>
      <charset val="134"/>
    </font>
    <font>
      <b/>
      <sz val="18"/>
      <color rgb="FFC00000"/>
      <name val="宋体"/>
      <charset val="134"/>
    </font>
    <font>
      <b/>
      <sz val="18"/>
      <color theme="9"/>
      <name val="宋体"/>
      <charset val="134"/>
    </font>
    <font>
      <b/>
      <sz val="18"/>
      <color theme="4"/>
      <name val="宋体"/>
      <charset val="134"/>
    </font>
    <font>
      <b/>
      <sz val="18"/>
      <color theme="8"/>
      <name val="宋体"/>
      <charset val="134"/>
    </font>
    <font>
      <b/>
      <sz val="18"/>
      <color rgb="FFFF0000"/>
      <name val="宋体"/>
      <charset val="134"/>
    </font>
    <font>
      <b/>
      <sz val="18"/>
      <color theme="3"/>
      <name val="宋体"/>
      <charset val="134"/>
    </font>
    <font>
      <b/>
      <sz val="18"/>
      <color theme="2" tint="-0.7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9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center"/>
    </xf>
    <xf numFmtId="176" fontId="3" fillId="5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0" fontId="6" fillId="4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6" fillId="5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76" fontId="11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76" fontId="12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176" fontId="14" fillId="0" borderId="1" xfId="0" applyNumberFormat="1" applyFont="1" applyFill="1" applyBorder="1" applyAlignment="1">
      <alignment horizontal="center"/>
    </xf>
    <xf numFmtId="176" fontId="7" fillId="0" borderId="1" xfId="0" applyNumberFormat="1" applyFont="1" applyFill="1" applyBorder="1" applyAlignment="1">
      <alignment horizontal="center"/>
    </xf>
    <xf numFmtId="176" fontId="8" fillId="0" borderId="1" xfId="0" applyNumberFormat="1" applyFont="1" applyFill="1" applyBorder="1" applyAlignment="1">
      <alignment horizontal="center"/>
    </xf>
    <xf numFmtId="176" fontId="13" fillId="0" borderId="1" xfId="0" applyNumberFormat="1" applyFont="1" applyFill="1" applyBorder="1" applyAlignment="1">
      <alignment horizontal="center"/>
    </xf>
    <xf numFmtId="176" fontId="3" fillId="0" borderId="2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/>
    </xf>
    <xf numFmtId="0" fontId="7" fillId="4" borderId="1" xfId="0" applyNumberFormat="1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4" fillId="3" borderId="1" xfId="0" applyNumberFormat="1" applyFont="1" applyFill="1" applyBorder="1" applyAlignment="1">
      <alignment horizontal="center"/>
    </xf>
    <xf numFmtId="0" fontId="14" fillId="4" borderId="1" xfId="0" applyNumberFormat="1" applyFont="1" applyFill="1" applyBorder="1" applyAlignment="1">
      <alignment horizontal="center"/>
    </xf>
    <xf numFmtId="0" fontId="14" fillId="0" borderId="1" xfId="0" applyNumberFormat="1" applyFont="1" applyFill="1" applyBorder="1" applyAlignment="1">
      <alignment horizontal="center"/>
    </xf>
    <xf numFmtId="0" fontId="5" fillId="5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topLeftCell="A67" workbookViewId="0">
      <selection activeCell="A81" sqref="$A81:$XFD84"/>
    </sheetView>
  </sheetViews>
  <sheetFormatPr defaultColWidth="9.23076923076923" defaultRowHeight="26" outlineLevelCol="7"/>
  <cols>
    <col min="1" max="4" width="14" style="1" customWidth="1"/>
    <col min="5" max="5" width="14" style="2" customWidth="1"/>
    <col min="6" max="8" width="14" style="1" customWidth="1"/>
  </cols>
  <sheetData>
    <row r="1" ht="37.2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4" t="s">
        <v>6</v>
      </c>
      <c r="G2" s="7" t="s">
        <v>7</v>
      </c>
      <c r="H2" s="4" t="s">
        <v>8</v>
      </c>
    </row>
    <row r="3" spans="1:8">
      <c r="A3" s="8" t="s">
        <v>9</v>
      </c>
      <c r="B3" s="9" t="s">
        <v>10</v>
      </c>
      <c r="C3" s="10"/>
      <c r="D3" s="11">
        <v>169.45</v>
      </c>
      <c r="E3" s="12"/>
      <c r="F3" s="13">
        <f>67.4+98.5+3.55</f>
        <v>169.45</v>
      </c>
      <c r="G3" s="14">
        <f t="shared" ref="G3:G66" si="0">D3+E3-F3</f>
        <v>0</v>
      </c>
      <c r="H3" s="15">
        <f>SUM(G3:G16)</f>
        <v>4048.52</v>
      </c>
    </row>
    <row r="4" spans="1:8">
      <c r="A4" s="8"/>
      <c r="B4" s="16" t="s">
        <v>11</v>
      </c>
      <c r="C4" s="4"/>
      <c r="D4" s="17">
        <v>100.44</v>
      </c>
      <c r="E4" s="18"/>
      <c r="F4" s="19"/>
      <c r="G4" s="14">
        <f t="shared" si="0"/>
        <v>100.44</v>
      </c>
      <c r="H4" s="15"/>
    </row>
    <row r="5" spans="1:8">
      <c r="A5" s="8"/>
      <c r="B5" s="20" t="s">
        <v>12</v>
      </c>
      <c r="C5" s="4"/>
      <c r="D5" s="17"/>
      <c r="E5" s="18">
        <f>79.77</f>
        <v>79.77</v>
      </c>
      <c r="F5" s="19">
        <f>59.2+20.4+0.17</f>
        <v>79.77</v>
      </c>
      <c r="G5" s="14">
        <f t="shared" si="0"/>
        <v>0</v>
      </c>
      <c r="H5" s="15"/>
    </row>
    <row r="6" spans="1:8">
      <c r="A6" s="8"/>
      <c r="B6" s="21" t="s">
        <v>13</v>
      </c>
      <c r="C6" s="4"/>
      <c r="D6" s="17"/>
      <c r="E6" s="18">
        <f>196.24+376.25+26.37</f>
        <v>598.86</v>
      </c>
      <c r="F6" s="19"/>
      <c r="G6" s="14">
        <f t="shared" si="0"/>
        <v>598.86</v>
      </c>
      <c r="H6" s="15"/>
    </row>
    <row r="7" spans="1:8">
      <c r="A7" s="8"/>
      <c r="B7" s="22" t="s">
        <v>14</v>
      </c>
      <c r="C7" s="23"/>
      <c r="D7" s="17">
        <v>180.21</v>
      </c>
      <c r="E7" s="18"/>
      <c r="F7" s="19"/>
      <c r="G7" s="14">
        <f t="shared" si="0"/>
        <v>180.21</v>
      </c>
      <c r="H7" s="15"/>
    </row>
    <row r="8" spans="1:8">
      <c r="A8" s="8"/>
      <c r="B8" s="22" t="s">
        <v>15</v>
      </c>
      <c r="C8" s="23"/>
      <c r="D8" s="17"/>
      <c r="E8" s="18">
        <f>144.02+35.34+71.43+108.76</f>
        <v>359.55</v>
      </c>
      <c r="F8" s="19">
        <f>41.7+145.8</f>
        <v>187.5</v>
      </c>
      <c r="G8" s="14">
        <f t="shared" si="0"/>
        <v>172.05</v>
      </c>
      <c r="H8" s="15"/>
    </row>
    <row r="9" spans="1:8">
      <c r="A9" s="8"/>
      <c r="B9" s="24" t="s">
        <v>16</v>
      </c>
      <c r="C9" s="4"/>
      <c r="D9" s="17">
        <f>696.85+161.44</f>
        <v>858.29</v>
      </c>
      <c r="E9" s="18">
        <f>231.07+135.62+133.87+187.03+165.19+33.69+100.14+303.86+305.27+166.06+97.42+34.62</f>
        <v>1893.84</v>
      </c>
      <c r="F9" s="19">
        <f>83.7+98.6+98.6+57.7+140+95.6+102.9+108.7+109.6+105.4+52+64.1</f>
        <v>1116.9</v>
      </c>
      <c r="G9" s="14">
        <f t="shared" si="0"/>
        <v>1635.23</v>
      </c>
      <c r="H9" s="15"/>
    </row>
    <row r="10" spans="1:8">
      <c r="A10" s="8"/>
      <c r="B10" s="24" t="s">
        <v>17</v>
      </c>
      <c r="C10" s="4"/>
      <c r="D10" s="17">
        <f>327.18-161.44</f>
        <v>165.74</v>
      </c>
      <c r="E10" s="18">
        <f>135.91</f>
        <v>135.91</v>
      </c>
      <c r="F10" s="19">
        <f>44.7+111.7+4+4.8+0.54</f>
        <v>165.74</v>
      </c>
      <c r="G10" s="14">
        <f t="shared" si="0"/>
        <v>135.91</v>
      </c>
      <c r="H10" s="15"/>
    </row>
    <row r="11" spans="1:8">
      <c r="A11" s="8"/>
      <c r="B11" s="24" t="s">
        <v>18</v>
      </c>
      <c r="C11" s="4"/>
      <c r="D11" s="17">
        <v>182.91</v>
      </c>
      <c r="E11" s="18"/>
      <c r="F11" s="19">
        <f>12</f>
        <v>12</v>
      </c>
      <c r="G11" s="14">
        <f t="shared" si="0"/>
        <v>170.91</v>
      </c>
      <c r="H11" s="15"/>
    </row>
    <row r="12" spans="1:8">
      <c r="A12" s="8"/>
      <c r="B12" s="24" t="s">
        <v>19</v>
      </c>
      <c r="C12" s="4"/>
      <c r="D12" s="17">
        <v>723.04</v>
      </c>
      <c r="E12" s="18"/>
      <c r="F12" s="19">
        <f>129.6</f>
        <v>129.6</v>
      </c>
      <c r="G12" s="14">
        <f t="shared" si="0"/>
        <v>593.44</v>
      </c>
      <c r="H12" s="15"/>
    </row>
    <row r="13" spans="1:8">
      <c r="A13" s="8"/>
      <c r="B13" s="25" t="s">
        <v>20</v>
      </c>
      <c r="C13" s="4"/>
      <c r="D13" s="17">
        <v>123.21</v>
      </c>
      <c r="E13" s="18"/>
      <c r="F13" s="19"/>
      <c r="G13" s="14">
        <f t="shared" si="0"/>
        <v>123.21</v>
      </c>
      <c r="H13" s="15"/>
    </row>
    <row r="14" spans="1:8">
      <c r="A14" s="8"/>
      <c r="B14" s="25" t="s">
        <v>21</v>
      </c>
      <c r="C14" s="4"/>
      <c r="D14" s="17">
        <v>95.32</v>
      </c>
      <c r="E14" s="18"/>
      <c r="F14" s="19"/>
      <c r="G14" s="14">
        <f t="shared" si="0"/>
        <v>95.32</v>
      </c>
      <c r="H14" s="15"/>
    </row>
    <row r="15" spans="1:8">
      <c r="A15" s="8"/>
      <c r="B15" s="25" t="s">
        <v>22</v>
      </c>
      <c r="C15" s="4"/>
      <c r="D15" s="17">
        <v>33.33</v>
      </c>
      <c r="E15" s="18"/>
      <c r="F15" s="19">
        <f>4.7+27.6+1.03</f>
        <v>33.33</v>
      </c>
      <c r="G15" s="14">
        <f t="shared" si="0"/>
        <v>0</v>
      </c>
      <c r="H15" s="15"/>
    </row>
    <row r="16" spans="1:8">
      <c r="A16" s="8"/>
      <c r="B16" s="25" t="s">
        <v>23</v>
      </c>
      <c r="C16" s="4"/>
      <c r="D16" s="17">
        <v>368.24</v>
      </c>
      <c r="E16" s="18"/>
      <c r="F16" s="19">
        <f>125.3</f>
        <v>125.3</v>
      </c>
      <c r="G16" s="14">
        <f t="shared" si="0"/>
        <v>242.94</v>
      </c>
      <c r="H16" s="15"/>
    </row>
    <row r="17" spans="1:8">
      <c r="A17" s="8" t="s">
        <v>24</v>
      </c>
      <c r="B17" s="16" t="s">
        <v>25</v>
      </c>
      <c r="C17" s="4" t="s">
        <v>26</v>
      </c>
      <c r="D17" s="17">
        <v>62.58</v>
      </c>
      <c r="E17" s="18">
        <v>6.9</v>
      </c>
      <c r="F17" s="19">
        <f>70.48-1</f>
        <v>69.48</v>
      </c>
      <c r="G17" s="14">
        <f t="shared" si="0"/>
        <v>0</v>
      </c>
      <c r="H17" s="15">
        <f>SUM(G17:G28)</f>
        <v>168.63</v>
      </c>
    </row>
    <row r="18" spans="1:8">
      <c r="A18" s="8"/>
      <c r="B18" s="24" t="s">
        <v>16</v>
      </c>
      <c r="C18" s="26" t="s">
        <v>26</v>
      </c>
      <c r="D18" s="17">
        <v>59.1</v>
      </c>
      <c r="E18" s="18">
        <f>83.7+98.6+98.6+57.7+140+95.6+102.9+108.7+109.6+105.4+52+64.1</f>
        <v>1116.9</v>
      </c>
      <c r="F18" s="19">
        <f>110.88+35.69+110.86+89.7+102.41+107.62+109.05+107.07-10+106.56+102.81-3+101.38+103.71+1.26</f>
        <v>1176</v>
      </c>
      <c r="G18" s="14">
        <f t="shared" si="0"/>
        <v>0</v>
      </c>
      <c r="H18" s="15"/>
    </row>
    <row r="19" spans="1:8">
      <c r="A19" s="8"/>
      <c r="B19" s="24" t="s">
        <v>17</v>
      </c>
      <c r="C19" s="26" t="s">
        <v>27</v>
      </c>
      <c r="D19" s="17">
        <v>57.05</v>
      </c>
      <c r="E19" s="18">
        <f>44.7+111.7+4.8</f>
        <v>161.2</v>
      </c>
      <c r="F19" s="19">
        <f>78.12+107.1+28.86+4.17</f>
        <v>218.25</v>
      </c>
      <c r="G19" s="14">
        <f t="shared" si="0"/>
        <v>0</v>
      </c>
      <c r="H19" s="15"/>
    </row>
    <row r="20" spans="1:8">
      <c r="A20" s="8"/>
      <c r="B20" s="27" t="s">
        <v>15</v>
      </c>
      <c r="C20" s="28" t="s">
        <v>27</v>
      </c>
      <c r="D20" s="17"/>
      <c r="E20" s="18">
        <f>41.7+145.8</f>
        <v>187.5</v>
      </c>
      <c r="F20" s="19">
        <f>110.87</f>
        <v>110.87</v>
      </c>
      <c r="G20" s="14">
        <f t="shared" si="0"/>
        <v>76.63</v>
      </c>
      <c r="H20" s="15"/>
    </row>
    <row r="21" spans="1:8">
      <c r="A21" s="8"/>
      <c r="B21" s="16" t="s">
        <v>10</v>
      </c>
      <c r="C21" s="29" t="s">
        <v>27</v>
      </c>
      <c r="D21" s="17"/>
      <c r="E21" s="18">
        <f>67.4+98.5+5.8</f>
        <v>171.7</v>
      </c>
      <c r="F21" s="19">
        <f>33.03+36.03+24.87+61.94+16.61-0.78</f>
        <v>171.7</v>
      </c>
      <c r="G21" s="14">
        <f t="shared" si="0"/>
        <v>0</v>
      </c>
      <c r="H21" s="15"/>
    </row>
    <row r="22" spans="1:8">
      <c r="A22" s="8"/>
      <c r="B22" s="20" t="s">
        <v>12</v>
      </c>
      <c r="C22" s="30" t="s">
        <v>27</v>
      </c>
      <c r="D22" s="17"/>
      <c r="E22" s="18">
        <f>59.2+20.4</f>
        <v>79.6</v>
      </c>
      <c r="F22" s="19">
        <f>35.32+44.17+0.11</f>
        <v>79.6</v>
      </c>
      <c r="G22" s="14">
        <f t="shared" si="0"/>
        <v>0</v>
      </c>
      <c r="H22" s="15"/>
    </row>
    <row r="23" spans="1:8">
      <c r="A23" s="8"/>
      <c r="B23" s="25" t="s">
        <v>22</v>
      </c>
      <c r="C23" s="31" t="s">
        <v>27</v>
      </c>
      <c r="D23" s="17"/>
      <c r="E23" s="18">
        <f>4.7+27.6</f>
        <v>32.3</v>
      </c>
      <c r="F23" s="19">
        <f>19.97+16.49-4.16</f>
        <v>32.3</v>
      </c>
      <c r="G23" s="14">
        <f t="shared" si="0"/>
        <v>0</v>
      </c>
      <c r="H23" s="15"/>
    </row>
    <row r="24" spans="1:8">
      <c r="A24" s="8"/>
      <c r="B24" s="16" t="s">
        <v>28</v>
      </c>
      <c r="C24" s="29" t="s">
        <v>29</v>
      </c>
      <c r="D24" s="17">
        <v>92</v>
      </c>
      <c r="E24" s="18"/>
      <c r="F24" s="19"/>
      <c r="G24" s="14">
        <f t="shared" si="0"/>
        <v>92</v>
      </c>
      <c r="H24" s="15"/>
    </row>
    <row r="25" spans="1:8">
      <c r="A25" s="8"/>
      <c r="B25" s="24" t="s">
        <v>19</v>
      </c>
      <c r="C25" s="26" t="s">
        <v>30</v>
      </c>
      <c r="D25" s="17"/>
      <c r="E25" s="18">
        <f>129.6</f>
        <v>129.6</v>
      </c>
      <c r="F25" s="19">
        <f>56.97+18.01+46.07+8.55</f>
        <v>129.6</v>
      </c>
      <c r="G25" s="14">
        <f t="shared" si="0"/>
        <v>0</v>
      </c>
      <c r="H25" s="15"/>
    </row>
    <row r="26" spans="1:8">
      <c r="A26" s="8"/>
      <c r="B26" s="25" t="s">
        <v>23</v>
      </c>
      <c r="C26" s="31" t="s">
        <v>30</v>
      </c>
      <c r="D26" s="17">
        <v>62.5</v>
      </c>
      <c r="E26" s="18">
        <f>125.3</f>
        <v>125.3</v>
      </c>
      <c r="F26" s="19">
        <f>20.33+30.27+75.14+62.06</f>
        <v>187.8</v>
      </c>
      <c r="G26" s="14">
        <f t="shared" si="0"/>
        <v>0</v>
      </c>
      <c r="H26" s="15"/>
    </row>
    <row r="27" spans="1:8">
      <c r="A27" s="8"/>
      <c r="B27" s="27" t="s">
        <v>31</v>
      </c>
      <c r="C27" s="28" t="s">
        <v>32</v>
      </c>
      <c r="D27" s="17">
        <v>67.3</v>
      </c>
      <c r="E27" s="18"/>
      <c r="F27" s="19">
        <f>38.02+19.63+9.65</f>
        <v>67.3</v>
      </c>
      <c r="G27" s="14">
        <f t="shared" si="0"/>
        <v>0</v>
      </c>
      <c r="H27" s="15"/>
    </row>
    <row r="28" spans="1:8">
      <c r="A28" s="8"/>
      <c r="B28" s="16" t="s">
        <v>33</v>
      </c>
      <c r="C28" s="4" t="s">
        <v>34</v>
      </c>
      <c r="D28" s="17">
        <v>71</v>
      </c>
      <c r="E28" s="18"/>
      <c r="F28" s="19">
        <f>25.14+34.32+11.54</f>
        <v>71</v>
      </c>
      <c r="G28" s="14">
        <f t="shared" si="0"/>
        <v>0</v>
      </c>
      <c r="H28" s="15"/>
    </row>
    <row r="29" spans="1:8">
      <c r="A29" s="32" t="s">
        <v>35</v>
      </c>
      <c r="B29" s="16" t="s">
        <v>25</v>
      </c>
      <c r="C29" s="16" t="s">
        <v>36</v>
      </c>
      <c r="D29" s="33">
        <v>136.51</v>
      </c>
      <c r="E29" s="34">
        <f>68.37</f>
        <v>68.37</v>
      </c>
      <c r="F29" s="35">
        <f>106.55+98.33</f>
        <v>204.88</v>
      </c>
      <c r="G29" s="14">
        <f t="shared" si="0"/>
        <v>0</v>
      </c>
      <c r="H29" s="36">
        <f>SUM(G29:G47)</f>
        <v>1058.92</v>
      </c>
    </row>
    <row r="30" spans="1:8">
      <c r="A30" s="37"/>
      <c r="B30" s="38" t="s">
        <v>13</v>
      </c>
      <c r="C30" s="38" t="s">
        <v>36</v>
      </c>
      <c r="D30" s="33">
        <v>36.52</v>
      </c>
      <c r="E30" s="34"/>
      <c r="F30" s="35">
        <f>29.05+7.47</f>
        <v>36.52</v>
      </c>
      <c r="G30" s="14">
        <f t="shared" si="0"/>
        <v>0</v>
      </c>
      <c r="H30" s="39"/>
    </row>
    <row r="31" spans="1:8">
      <c r="A31" s="37"/>
      <c r="B31" s="24" t="s">
        <v>16</v>
      </c>
      <c r="C31" s="24" t="s">
        <v>36</v>
      </c>
      <c r="D31" s="33">
        <v>61.04</v>
      </c>
      <c r="E31" s="34">
        <f>34.62+107.56+107.54+87.01+99.34+104.4+105.78+103.86+103.37+99.73-3+98.34+100.6+12.83</f>
        <v>1161.98</v>
      </c>
      <c r="F31" s="35">
        <f>40.96+12.92+24.37+8.07+77.5+13+77.5+77.5+77.5+77.5+7+87.18+158.22+80.72+77.5+77.5</f>
        <v>974.94</v>
      </c>
      <c r="G31" s="14">
        <f t="shared" si="0"/>
        <v>248.08</v>
      </c>
      <c r="H31" s="39"/>
    </row>
    <row r="32" spans="1:8">
      <c r="A32" s="37"/>
      <c r="B32" s="24" t="s">
        <v>17</v>
      </c>
      <c r="C32" s="24" t="s">
        <v>37</v>
      </c>
      <c r="D32" s="33">
        <v>26.12</v>
      </c>
      <c r="E32" s="34">
        <f>75.78+103.89+28+24.13</f>
        <v>231.8</v>
      </c>
      <c r="F32" s="35">
        <f>26.38-0.26+8.24+82.48+82.48+21.44+13.19+22.39+1.58</f>
        <v>257.92</v>
      </c>
      <c r="G32" s="14">
        <f t="shared" si="0"/>
        <v>0</v>
      </c>
      <c r="H32" s="39"/>
    </row>
    <row r="33" spans="1:8">
      <c r="A33" s="37"/>
      <c r="B33" s="16" t="s">
        <v>10</v>
      </c>
      <c r="C33" s="16" t="s">
        <v>37</v>
      </c>
      <c r="D33" s="33"/>
      <c r="E33" s="34">
        <f>32.04</f>
        <v>32.04</v>
      </c>
      <c r="F33" s="35">
        <f>32.04</f>
        <v>32.04</v>
      </c>
      <c r="G33" s="14">
        <f t="shared" si="0"/>
        <v>0</v>
      </c>
      <c r="H33" s="39"/>
    </row>
    <row r="34" spans="1:8">
      <c r="A34" s="37"/>
      <c r="B34" s="16" t="s">
        <v>10</v>
      </c>
      <c r="C34" s="16" t="s">
        <v>38</v>
      </c>
      <c r="D34" s="33"/>
      <c r="E34" s="34">
        <f>34.95+60.09+16.61</f>
        <v>111.65</v>
      </c>
      <c r="F34" s="35">
        <f>51.58</f>
        <v>51.58</v>
      </c>
      <c r="G34" s="14">
        <f t="shared" si="0"/>
        <v>60.07</v>
      </c>
      <c r="H34" s="39"/>
    </row>
    <row r="35" spans="1:8">
      <c r="A35" s="37"/>
      <c r="B35" s="20" t="s">
        <v>12</v>
      </c>
      <c r="C35" s="20" t="s">
        <v>37</v>
      </c>
      <c r="D35" s="33"/>
      <c r="E35" s="34">
        <f>34.27</f>
        <v>34.27</v>
      </c>
      <c r="F35" s="35">
        <f>34.65-0.38</f>
        <v>34.27</v>
      </c>
      <c r="G35" s="14">
        <f t="shared" si="0"/>
        <v>0</v>
      </c>
      <c r="H35" s="39"/>
    </row>
    <row r="36" spans="1:8">
      <c r="A36" s="37"/>
      <c r="B36" s="20" t="s">
        <v>12</v>
      </c>
      <c r="C36" s="20" t="s">
        <v>38</v>
      </c>
      <c r="D36" s="33"/>
      <c r="E36" s="34">
        <v>42.85</v>
      </c>
      <c r="F36" s="35"/>
      <c r="G36" s="14">
        <f t="shared" si="0"/>
        <v>42.85</v>
      </c>
      <c r="H36" s="39"/>
    </row>
    <row r="37" spans="1:8">
      <c r="A37" s="37"/>
      <c r="B37" s="25" t="s">
        <v>22</v>
      </c>
      <c r="C37" s="25" t="s">
        <v>37</v>
      </c>
      <c r="D37" s="33"/>
      <c r="E37" s="34">
        <f>16.49</f>
        <v>16.49</v>
      </c>
      <c r="F37" s="35">
        <f>11.54+4.95</f>
        <v>16.49</v>
      </c>
      <c r="G37" s="14">
        <f t="shared" si="0"/>
        <v>0</v>
      </c>
      <c r="H37" s="39"/>
    </row>
    <row r="38" spans="1:8">
      <c r="A38" s="37"/>
      <c r="B38" s="25" t="s">
        <v>22</v>
      </c>
      <c r="C38" s="25" t="s">
        <v>38</v>
      </c>
      <c r="D38" s="33"/>
      <c r="E38" s="34">
        <v>19.97</v>
      </c>
      <c r="F38" s="35"/>
      <c r="G38" s="14">
        <f t="shared" si="0"/>
        <v>19.97</v>
      </c>
      <c r="H38" s="39"/>
    </row>
    <row r="39" spans="1:8">
      <c r="A39" s="37"/>
      <c r="B39" s="27" t="s">
        <v>15</v>
      </c>
      <c r="C39" s="27" t="s">
        <v>37</v>
      </c>
      <c r="D39" s="33"/>
      <c r="E39" s="34">
        <f>107.55</f>
        <v>107.55</v>
      </c>
      <c r="F39" s="35"/>
      <c r="G39" s="14">
        <f t="shared" si="0"/>
        <v>107.55</v>
      </c>
      <c r="H39" s="39"/>
    </row>
    <row r="40" spans="1:8">
      <c r="A40" s="37"/>
      <c r="B40" s="24" t="s">
        <v>18</v>
      </c>
      <c r="C40" s="24" t="s">
        <v>39</v>
      </c>
      <c r="D40" s="33">
        <v>198.12</v>
      </c>
      <c r="E40" s="34"/>
      <c r="F40" s="35">
        <f>42.05</f>
        <v>42.05</v>
      </c>
      <c r="G40" s="14">
        <f t="shared" si="0"/>
        <v>156.07</v>
      </c>
      <c r="H40" s="39"/>
    </row>
    <row r="41" spans="1:8">
      <c r="A41" s="37"/>
      <c r="B41" s="24" t="s">
        <v>18</v>
      </c>
      <c r="C41" s="24" t="s">
        <v>40</v>
      </c>
      <c r="D41" s="33">
        <v>83.26</v>
      </c>
      <c r="E41" s="34"/>
      <c r="F41" s="35">
        <f>27.7+55.4+0.16</f>
        <v>83.26</v>
      </c>
      <c r="G41" s="14">
        <f t="shared" si="0"/>
        <v>0</v>
      </c>
      <c r="H41" s="39"/>
    </row>
    <row r="42" spans="1:8">
      <c r="A42" s="37"/>
      <c r="B42" s="24" t="s">
        <v>18</v>
      </c>
      <c r="C42" s="24" t="s">
        <v>41</v>
      </c>
      <c r="D42" s="33">
        <v>54.01</v>
      </c>
      <c r="E42" s="34"/>
      <c r="F42" s="35">
        <f>22.93</f>
        <v>22.93</v>
      </c>
      <c r="G42" s="14">
        <f t="shared" si="0"/>
        <v>31.08</v>
      </c>
      <c r="H42" s="39"/>
    </row>
    <row r="43" spans="1:8">
      <c r="A43" s="37"/>
      <c r="B43" s="24" t="s">
        <v>19</v>
      </c>
      <c r="C43" s="24" t="s">
        <v>42</v>
      </c>
      <c r="D43" s="33"/>
      <c r="E43" s="34">
        <f>72.89+55.27</f>
        <v>128.16</v>
      </c>
      <c r="F43" s="35"/>
      <c r="G43" s="14">
        <f t="shared" si="0"/>
        <v>128.16</v>
      </c>
      <c r="H43" s="39"/>
    </row>
    <row r="44" spans="1:8">
      <c r="A44" s="37"/>
      <c r="B44" s="25" t="s">
        <v>23</v>
      </c>
      <c r="C44" s="25" t="s">
        <v>42</v>
      </c>
      <c r="D44" s="33">
        <v>188.8</v>
      </c>
      <c r="E44" s="34">
        <f>19.72+30.27+77.67+44.69</f>
        <v>172.35</v>
      </c>
      <c r="F44" s="35">
        <f>52.32+38.82+16.87+77.62+32.06+32.06</f>
        <v>249.75</v>
      </c>
      <c r="G44" s="14">
        <f t="shared" si="0"/>
        <v>111.4</v>
      </c>
      <c r="H44" s="39"/>
    </row>
    <row r="45" spans="1:8">
      <c r="A45" s="37"/>
      <c r="B45" s="16" t="s">
        <v>11</v>
      </c>
      <c r="C45" s="16" t="s">
        <v>42</v>
      </c>
      <c r="D45" s="33">
        <v>85.87</v>
      </c>
      <c r="E45" s="34"/>
      <c r="F45" s="35">
        <f>26.58</f>
        <v>26.58</v>
      </c>
      <c r="G45" s="14">
        <f t="shared" si="0"/>
        <v>59.29</v>
      </c>
      <c r="H45" s="39"/>
    </row>
    <row r="46" spans="1:8">
      <c r="A46" s="37"/>
      <c r="B46" s="27" t="s">
        <v>31</v>
      </c>
      <c r="C46" s="27" t="s">
        <v>43</v>
      </c>
      <c r="D46" s="33"/>
      <c r="E46" s="34">
        <f>36.88+19.04+6.24</f>
        <v>62.16</v>
      </c>
      <c r="F46" s="35">
        <f>37.88-1</f>
        <v>36.88</v>
      </c>
      <c r="G46" s="14">
        <f t="shared" si="0"/>
        <v>25.28</v>
      </c>
      <c r="H46" s="39"/>
    </row>
    <row r="47" spans="1:8">
      <c r="A47" s="40"/>
      <c r="B47" s="16" t="s">
        <v>33</v>
      </c>
      <c r="C47" s="16" t="s">
        <v>43</v>
      </c>
      <c r="D47" s="33"/>
      <c r="E47" s="34">
        <f>24.39+33.3+11.43</f>
        <v>69.12</v>
      </c>
      <c r="F47" s="35"/>
      <c r="G47" s="14">
        <f t="shared" si="0"/>
        <v>69.12</v>
      </c>
      <c r="H47" s="41"/>
    </row>
    <row r="48" spans="1:8">
      <c r="A48" s="32" t="s">
        <v>44</v>
      </c>
      <c r="B48" s="42" t="s">
        <v>13</v>
      </c>
      <c r="C48" s="42" t="s">
        <v>36</v>
      </c>
      <c r="D48" s="33">
        <v>52.29</v>
      </c>
      <c r="E48" s="34">
        <f>29.05</f>
        <v>29.05</v>
      </c>
      <c r="F48" s="35">
        <f>70.9+10.44</f>
        <v>81.34</v>
      </c>
      <c r="G48" s="14">
        <f t="shared" si="0"/>
        <v>0</v>
      </c>
      <c r="H48" s="36">
        <f>SUM(G48:G61)</f>
        <v>115.77</v>
      </c>
    </row>
    <row r="49" spans="1:8">
      <c r="A49" s="37"/>
      <c r="B49" s="16" t="s">
        <v>25</v>
      </c>
      <c r="C49" s="16" t="s">
        <v>36</v>
      </c>
      <c r="D49" s="33"/>
      <c r="E49" s="34">
        <f>106.55+122.7</f>
        <v>229.25</v>
      </c>
      <c r="F49" s="35">
        <f>70.16+129+30.09</f>
        <v>229.25</v>
      </c>
      <c r="G49" s="14">
        <f t="shared" si="0"/>
        <v>0</v>
      </c>
      <c r="H49" s="39"/>
    </row>
    <row r="50" spans="1:8">
      <c r="A50" s="37"/>
      <c r="B50" s="24" t="s">
        <v>16</v>
      </c>
      <c r="C50" s="24" t="s">
        <v>36</v>
      </c>
      <c r="D50" s="33"/>
      <c r="E50" s="34">
        <f>48.43+12.92+8.07+77.5-5+77.5+77.5+77.5+77.5+87.18+158.22+80.72+77.5+77.5</f>
        <v>933.04</v>
      </c>
      <c r="F50" s="35">
        <f>86.01+85.4+64.5+82.2+77.4+77.3+111.3+140.3+74.1+77.4</f>
        <v>875.91</v>
      </c>
      <c r="G50" s="14">
        <f t="shared" si="0"/>
        <v>57.13</v>
      </c>
      <c r="H50" s="39"/>
    </row>
    <row r="51" spans="1:8">
      <c r="A51" s="37"/>
      <c r="B51" s="24" t="s">
        <v>17</v>
      </c>
      <c r="C51" s="24" t="s">
        <v>37</v>
      </c>
      <c r="D51" s="33">
        <v>34.86</v>
      </c>
      <c r="E51" s="34">
        <f>26.38+8.24+82.48+82.48+21.44+13.19</f>
        <v>234.21</v>
      </c>
      <c r="F51" s="35">
        <f>60.9+0.34+14.8+90.6+82.4+6.84+13.19</f>
        <v>269.07</v>
      </c>
      <c r="G51" s="14">
        <f t="shared" si="0"/>
        <v>0</v>
      </c>
      <c r="H51" s="39"/>
    </row>
    <row r="52" spans="1:8">
      <c r="A52" s="37"/>
      <c r="B52" s="24" t="s">
        <v>17</v>
      </c>
      <c r="C52" s="24" t="s">
        <v>45</v>
      </c>
      <c r="D52" s="33">
        <v>22.95</v>
      </c>
      <c r="E52" s="34"/>
      <c r="F52" s="35">
        <f>22.9+0.05</f>
        <v>22.95</v>
      </c>
      <c r="G52" s="14">
        <f t="shared" si="0"/>
        <v>0</v>
      </c>
      <c r="H52" s="39"/>
    </row>
    <row r="53" spans="1:8">
      <c r="A53" s="37"/>
      <c r="B53" s="16" t="s">
        <v>10</v>
      </c>
      <c r="C53" s="16" t="s">
        <v>37</v>
      </c>
      <c r="D53" s="33"/>
      <c r="E53" s="34">
        <f>54.43</f>
        <v>54.43</v>
      </c>
      <c r="F53" s="35">
        <f>19.7+34.73</f>
        <v>54.43</v>
      </c>
      <c r="G53" s="14">
        <f t="shared" si="0"/>
        <v>0</v>
      </c>
      <c r="H53" s="39"/>
    </row>
    <row r="54" spans="1:8">
      <c r="A54" s="37"/>
      <c r="B54" s="16" t="s">
        <v>10</v>
      </c>
      <c r="C54" s="16" t="s">
        <v>38</v>
      </c>
      <c r="D54" s="33"/>
      <c r="E54" s="34">
        <f>51.58</f>
        <v>51.58</v>
      </c>
      <c r="F54" s="35">
        <f>51.6-0.02</f>
        <v>51.58</v>
      </c>
      <c r="G54" s="14">
        <f t="shared" si="0"/>
        <v>0</v>
      </c>
      <c r="H54" s="39"/>
    </row>
    <row r="55" spans="1:8">
      <c r="A55" s="37"/>
      <c r="B55" s="25" t="s">
        <v>22</v>
      </c>
      <c r="C55" s="25" t="s">
        <v>37</v>
      </c>
      <c r="D55" s="33"/>
      <c r="E55" s="34">
        <f>11.54</f>
        <v>11.54</v>
      </c>
      <c r="F55" s="35">
        <f>11.54</f>
        <v>11.54</v>
      </c>
      <c r="G55" s="14">
        <f t="shared" si="0"/>
        <v>0</v>
      </c>
      <c r="H55" s="39"/>
    </row>
    <row r="56" spans="1:8">
      <c r="A56" s="37"/>
      <c r="B56" s="20" t="s">
        <v>12</v>
      </c>
      <c r="C56" s="20" t="s">
        <v>37</v>
      </c>
      <c r="D56" s="33"/>
      <c r="E56" s="34">
        <f>39.6</f>
        <v>39.6</v>
      </c>
      <c r="F56" s="35">
        <f>14.64+26.3-1.34</f>
        <v>39.6</v>
      </c>
      <c r="G56" s="14">
        <f t="shared" si="0"/>
        <v>0</v>
      </c>
      <c r="H56" s="39"/>
    </row>
    <row r="57" spans="1:8">
      <c r="A57" s="37"/>
      <c r="B57" s="24" t="s">
        <v>18</v>
      </c>
      <c r="C57" s="24" t="s">
        <v>39</v>
      </c>
      <c r="D57" s="33"/>
      <c r="E57" s="34">
        <f>42.05+22.93</f>
        <v>64.98</v>
      </c>
      <c r="F57" s="35">
        <f>64.9+0.08</f>
        <v>64.98</v>
      </c>
      <c r="G57" s="14">
        <f t="shared" si="0"/>
        <v>0</v>
      </c>
      <c r="H57" s="39"/>
    </row>
    <row r="58" spans="1:8">
      <c r="A58" s="37"/>
      <c r="B58" s="24" t="s">
        <v>18</v>
      </c>
      <c r="C58" s="24" t="s">
        <v>40</v>
      </c>
      <c r="D58" s="33"/>
      <c r="E58" s="34">
        <f>27.7+55.4</f>
        <v>83.1</v>
      </c>
      <c r="F58" s="35">
        <f>42.6+40.3+0.2</f>
        <v>83.1</v>
      </c>
      <c r="G58" s="14">
        <f t="shared" si="0"/>
        <v>0</v>
      </c>
      <c r="H58" s="39"/>
    </row>
    <row r="59" spans="1:8">
      <c r="A59" s="37"/>
      <c r="B59" s="16" t="s">
        <v>11</v>
      </c>
      <c r="C59" s="16" t="s">
        <v>42</v>
      </c>
      <c r="D59" s="33"/>
      <c r="E59" s="34">
        <f>26.58</f>
        <v>26.58</v>
      </c>
      <c r="F59" s="35"/>
      <c r="G59" s="14">
        <f t="shared" si="0"/>
        <v>26.58</v>
      </c>
      <c r="H59" s="39"/>
    </row>
    <row r="60" spans="1:8">
      <c r="A60" s="37"/>
      <c r="B60" s="25" t="s">
        <v>23</v>
      </c>
      <c r="C60" s="25" t="s">
        <v>42</v>
      </c>
      <c r="D60" s="33">
        <v>2.77</v>
      </c>
      <c r="E60" s="34">
        <f>52.32+38.82+16.87+77.62+32.06+32.06</f>
        <v>249.75</v>
      </c>
      <c r="F60" s="35">
        <f>87.6+5+1.31+47.2+62.4+16.8+0.15</f>
        <v>220.46</v>
      </c>
      <c r="G60" s="14">
        <f t="shared" si="0"/>
        <v>32.06</v>
      </c>
      <c r="H60" s="39"/>
    </row>
    <row r="61" spans="1:8">
      <c r="A61" s="37"/>
      <c r="B61" s="28" t="s">
        <v>31</v>
      </c>
      <c r="C61" s="28" t="s">
        <v>43</v>
      </c>
      <c r="D61" s="17"/>
      <c r="E61" s="18">
        <f>37.88</f>
        <v>37.88</v>
      </c>
      <c r="F61" s="19">
        <f>38.2-0.32</f>
        <v>37.88</v>
      </c>
      <c r="G61" s="14">
        <f t="shared" si="0"/>
        <v>0</v>
      </c>
      <c r="H61" s="39"/>
    </row>
    <row r="62" spans="1:8">
      <c r="A62" s="32" t="s">
        <v>46</v>
      </c>
      <c r="B62" s="29" t="s">
        <v>25</v>
      </c>
      <c r="C62" s="29" t="s">
        <v>36</v>
      </c>
      <c r="D62" s="17">
        <v>61.7</v>
      </c>
      <c r="E62" s="18">
        <f>70.9+80.6+129+116.1+85.4+64.5+82.2+77.4+77.3+111.3+140.3+74.1+77.4</f>
        <v>1186.5</v>
      </c>
      <c r="F62" s="19">
        <f>68.1+77.5+77.5+160+24.5+73.1+73.2+77.7+73.1+90.2+60.8+136.4+107.5+78.2</f>
        <v>1177.8</v>
      </c>
      <c r="G62" s="14">
        <f t="shared" si="0"/>
        <v>70.3999999999999</v>
      </c>
      <c r="H62" s="36">
        <f>SUM(G62:G69)</f>
        <v>140.7</v>
      </c>
    </row>
    <row r="63" spans="1:8">
      <c r="A63" s="37"/>
      <c r="B63" s="29" t="s">
        <v>10</v>
      </c>
      <c r="C63" s="29" t="s">
        <v>37</v>
      </c>
      <c r="D63" s="17">
        <v>42.3</v>
      </c>
      <c r="E63" s="18">
        <f>60.9+14.8+90.6+82.4+19.7+74.1+26.3</f>
        <v>368.8</v>
      </c>
      <c r="F63" s="19">
        <f>45+63.5-5.3+27.5+122.8+47.2-9.7+39.5+20.2+55</f>
        <v>405.7</v>
      </c>
      <c r="G63" s="14">
        <f t="shared" si="0"/>
        <v>5.40000000000003</v>
      </c>
      <c r="H63" s="39"/>
    </row>
    <row r="64" spans="1:8">
      <c r="A64" s="37"/>
      <c r="B64" s="29" t="s">
        <v>10</v>
      </c>
      <c r="C64" s="29" t="s">
        <v>45</v>
      </c>
      <c r="D64" s="17">
        <v>22.9</v>
      </c>
      <c r="E64" s="18">
        <v>22.9</v>
      </c>
      <c r="F64" s="19">
        <f>46.4-0.6</f>
        <v>45.8</v>
      </c>
      <c r="G64" s="14">
        <f t="shared" si="0"/>
        <v>0</v>
      </c>
      <c r="H64" s="39"/>
    </row>
    <row r="65" spans="1:8">
      <c r="A65" s="37"/>
      <c r="B65" s="29" t="s">
        <v>10</v>
      </c>
      <c r="C65" s="29" t="s">
        <v>38</v>
      </c>
      <c r="D65" s="17"/>
      <c r="E65" s="18">
        <f>51.6</f>
        <v>51.6</v>
      </c>
      <c r="F65" s="19">
        <f>26.6+25.2-0.2</f>
        <v>51.6</v>
      </c>
      <c r="G65" s="14">
        <f t="shared" si="0"/>
        <v>0</v>
      </c>
      <c r="H65" s="39"/>
    </row>
    <row r="66" spans="1:8">
      <c r="A66" s="37"/>
      <c r="B66" s="29" t="s">
        <v>28</v>
      </c>
      <c r="C66" s="29" t="s">
        <v>39</v>
      </c>
      <c r="D66" s="17"/>
      <c r="E66" s="18">
        <f>64.9</f>
        <v>64.9</v>
      </c>
      <c r="F66" s="19"/>
      <c r="G66" s="14">
        <f t="shared" si="0"/>
        <v>64.9</v>
      </c>
      <c r="H66" s="39"/>
    </row>
    <row r="67" spans="1:8">
      <c r="A67" s="37"/>
      <c r="B67" s="29" t="s">
        <v>28</v>
      </c>
      <c r="C67" s="29" t="s">
        <v>40</v>
      </c>
      <c r="D67" s="17"/>
      <c r="E67" s="18">
        <f>42.6+40.3</f>
        <v>82.9</v>
      </c>
      <c r="F67" s="19">
        <f>57.8+25.3-0.2</f>
        <v>82.9</v>
      </c>
      <c r="G67" s="14">
        <f t="shared" ref="G67:G82" si="1">D67+E67-F67</f>
        <v>0</v>
      </c>
      <c r="H67" s="39"/>
    </row>
    <row r="68" spans="1:8">
      <c r="A68" s="37"/>
      <c r="B68" s="29" t="s">
        <v>11</v>
      </c>
      <c r="C68" s="4" t="s">
        <v>42</v>
      </c>
      <c r="D68" s="17"/>
      <c r="E68" s="18">
        <f>87.6+5+47.2+62.4+16.8</f>
        <v>219</v>
      </c>
      <c r="F68" s="19">
        <f>20.5+67+5.1+62.6+65.6-1.8</f>
        <v>219</v>
      </c>
      <c r="G68" s="14">
        <f t="shared" si="1"/>
        <v>0</v>
      </c>
      <c r="H68" s="39"/>
    </row>
    <row r="69" spans="1:8">
      <c r="A69" s="40"/>
      <c r="B69" s="28" t="s">
        <v>31</v>
      </c>
      <c r="C69" s="28" t="s">
        <v>43</v>
      </c>
      <c r="D69" s="17"/>
      <c r="E69" s="18">
        <f>38.2</f>
        <v>38.2</v>
      </c>
      <c r="F69" s="19">
        <f>12+27.5-1.3</f>
        <v>38.2</v>
      </c>
      <c r="G69" s="14">
        <f t="shared" si="1"/>
        <v>0</v>
      </c>
      <c r="H69" s="41"/>
    </row>
    <row r="70" spans="1:8">
      <c r="A70" s="32" t="s">
        <v>47</v>
      </c>
      <c r="B70" s="29" t="s">
        <v>25</v>
      </c>
      <c r="C70" s="4" t="s">
        <v>48</v>
      </c>
      <c r="D70" s="17">
        <v>8.12</v>
      </c>
      <c r="E70" s="18"/>
      <c r="F70" s="19">
        <f>8.23-0.11</f>
        <v>8.12</v>
      </c>
      <c r="G70" s="14">
        <f t="shared" si="1"/>
        <v>0</v>
      </c>
      <c r="H70" s="36">
        <f>SUM(G70:G79)</f>
        <v>168.69</v>
      </c>
    </row>
    <row r="71" spans="1:8">
      <c r="A71" s="37"/>
      <c r="B71" s="16" t="s">
        <v>25</v>
      </c>
      <c r="C71" s="4" t="s">
        <v>36</v>
      </c>
      <c r="D71" s="17">
        <v>7.45</v>
      </c>
      <c r="E71" s="18">
        <f>68.1+77.5+77.5+160+24.5+73.1+73.2+77.7+73.1+90.2+2.5+60.8+136.4+107.5+78.2</f>
        <v>1180.3</v>
      </c>
      <c r="F71" s="19">
        <f>60.6+0.5+69.99+58.52+115.57+155.65+99.3+1.22+68.15+77.5+73.01+75.38+113.55+138.89+1.72+72.96+0.5</f>
        <v>1183.01</v>
      </c>
      <c r="G71" s="14">
        <f t="shared" si="1"/>
        <v>4.74000000000024</v>
      </c>
      <c r="H71" s="39"/>
    </row>
    <row r="72" spans="1:8">
      <c r="A72" s="37"/>
      <c r="B72" s="16" t="s">
        <v>10</v>
      </c>
      <c r="C72" s="4" t="s">
        <v>37</v>
      </c>
      <c r="D72" s="17">
        <v>37.01</v>
      </c>
      <c r="E72" s="18">
        <f>45+63.5+4+27.5+122.8-2.5+47.2+39.5+20.2+55</f>
        <v>422.2</v>
      </c>
      <c r="F72" s="19">
        <f>27.57+72.43+28.81+14.95+5.1+0.65+27.41+0.09+79.92+42.55+36.72+42.03+4.95</f>
        <v>383.18</v>
      </c>
      <c r="G72" s="14">
        <f t="shared" si="1"/>
        <v>76.03</v>
      </c>
      <c r="H72" s="39"/>
    </row>
    <row r="73" spans="1:8">
      <c r="A73" s="37"/>
      <c r="B73" s="16" t="s">
        <v>10</v>
      </c>
      <c r="C73" s="4" t="s">
        <v>45</v>
      </c>
      <c r="D73" s="17"/>
      <c r="E73" s="18">
        <v>46.4</v>
      </c>
      <c r="F73" s="19">
        <f>28.34+17.57+0.49</f>
        <v>46.4</v>
      </c>
      <c r="G73" s="14">
        <f t="shared" si="1"/>
        <v>0</v>
      </c>
      <c r="H73" s="39"/>
    </row>
    <row r="74" spans="1:8">
      <c r="A74" s="37"/>
      <c r="B74" s="16" t="s">
        <v>10</v>
      </c>
      <c r="C74" s="4" t="s">
        <v>38</v>
      </c>
      <c r="D74" s="17">
        <v>35.89</v>
      </c>
      <c r="E74" s="18">
        <f>26.6+25.2</f>
        <v>51.8</v>
      </c>
      <c r="F74" s="19">
        <f>21.76+0.5+13.52+0.11+21.22+16.91+10.97</f>
        <v>84.99</v>
      </c>
      <c r="G74" s="14">
        <f t="shared" si="1"/>
        <v>2.7</v>
      </c>
      <c r="H74" s="39"/>
    </row>
    <row r="75" spans="1:8">
      <c r="A75" s="37"/>
      <c r="B75" s="16" t="s">
        <v>28</v>
      </c>
      <c r="C75" s="4" t="s">
        <v>39</v>
      </c>
      <c r="D75" s="17">
        <v>86.49</v>
      </c>
      <c r="E75" s="18"/>
      <c r="F75" s="19">
        <f>26.01+5.73+5.82+11.56+11.56+18.21</f>
        <v>78.89</v>
      </c>
      <c r="G75" s="14">
        <f t="shared" si="1"/>
        <v>7.59999999999998</v>
      </c>
      <c r="H75" s="39"/>
    </row>
    <row r="76" spans="1:8">
      <c r="A76" s="37"/>
      <c r="B76" s="16" t="s">
        <v>28</v>
      </c>
      <c r="C76" s="4" t="s">
        <v>41</v>
      </c>
      <c r="D76" s="17">
        <v>48.2</v>
      </c>
      <c r="E76" s="18"/>
      <c r="F76" s="19">
        <f>4.97+10.27+10.46</f>
        <v>25.7</v>
      </c>
      <c r="G76" s="14">
        <f t="shared" si="1"/>
        <v>22.5</v>
      </c>
      <c r="H76" s="39"/>
    </row>
    <row r="77" spans="1:8">
      <c r="A77" s="37"/>
      <c r="B77" s="29" t="s">
        <v>28</v>
      </c>
      <c r="C77" s="4" t="s">
        <v>40</v>
      </c>
      <c r="D77" s="17">
        <v>27.83</v>
      </c>
      <c r="E77" s="18">
        <f>57.8+25.3</f>
        <v>83.1</v>
      </c>
      <c r="F77" s="19">
        <f>9.65+12.96+12.62+19.54+12.82+18.73</f>
        <v>86.32</v>
      </c>
      <c r="G77" s="14">
        <f t="shared" si="1"/>
        <v>24.61</v>
      </c>
      <c r="H77" s="39"/>
    </row>
    <row r="78" spans="1:8">
      <c r="A78" s="37"/>
      <c r="B78" s="29" t="s">
        <v>11</v>
      </c>
      <c r="C78" s="4" t="s">
        <v>42</v>
      </c>
      <c r="D78" s="17">
        <v>63.38</v>
      </c>
      <c r="E78" s="18">
        <f>3+20.5+67+5+62.6+65.6</f>
        <v>223.7</v>
      </c>
      <c r="F78" s="19">
        <f>57.11+30.48+92.37+15.01+31.01+12.63+48.18+0.29</f>
        <v>287.08</v>
      </c>
      <c r="G78" s="14">
        <f t="shared" si="1"/>
        <v>0</v>
      </c>
      <c r="H78" s="39"/>
    </row>
    <row r="79" spans="1:8">
      <c r="A79" s="40"/>
      <c r="B79" s="29" t="s">
        <v>33</v>
      </c>
      <c r="C79" s="4" t="s">
        <v>43</v>
      </c>
      <c r="D79" s="17"/>
      <c r="E79" s="18">
        <f>12+27.5</f>
        <v>39.5</v>
      </c>
      <c r="F79" s="19">
        <f>8.99</f>
        <v>8.99</v>
      </c>
      <c r="G79" s="14">
        <f t="shared" si="1"/>
        <v>30.51</v>
      </c>
      <c r="H79" s="41"/>
    </row>
    <row r="80" spans="1:8">
      <c r="A80" s="28" t="s">
        <v>49</v>
      </c>
      <c r="B80" s="28"/>
      <c r="C80" s="28"/>
      <c r="D80" s="43">
        <f>SUM(D3:D79)</f>
        <v>4896.1</v>
      </c>
      <c r="E80" s="44">
        <f>SUM(E3:E79)</f>
        <v>13464.48</v>
      </c>
      <c r="F80" s="45">
        <f>SUM(F3:F79)</f>
        <v>12659.35</v>
      </c>
      <c r="G80" s="46">
        <f>SUM(G3:G79)</f>
        <v>5701.23</v>
      </c>
      <c r="H80" s="45">
        <f>SUM(H3:H79)</f>
        <v>5701.23</v>
      </c>
    </row>
  </sheetData>
  <mergeCells count="14">
    <mergeCell ref="A1:H1"/>
    <mergeCell ref="A80:C80"/>
    <mergeCell ref="A3:A16"/>
    <mergeCell ref="A17:A28"/>
    <mergeCell ref="A29:A47"/>
    <mergeCell ref="A48:A61"/>
    <mergeCell ref="A62:A69"/>
    <mergeCell ref="A70:A79"/>
    <mergeCell ref="H3:H16"/>
    <mergeCell ref="H17:H28"/>
    <mergeCell ref="H29:H47"/>
    <mergeCell ref="H48:H61"/>
    <mergeCell ref="H62:H69"/>
    <mergeCell ref="H70:H7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lizengrui</dc:creator>
  <cp:lastModifiedBy>     Rui.  L   。</cp:lastModifiedBy>
  <dcterms:created xsi:type="dcterms:W3CDTF">2026-05-14T16:25:23Z</dcterms:created>
  <dcterms:modified xsi:type="dcterms:W3CDTF">2026-05-14T17:49:08Z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63630E6B97549CD2F386056AD24B83B1_41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